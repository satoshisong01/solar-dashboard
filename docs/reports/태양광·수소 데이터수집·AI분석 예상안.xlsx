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jungm\Desktop\projects\simple\solar-dashboard\docs\reports\"/>
    </mc:Choice>
  </mc:AlternateContent>
  <xr:revisionPtr revIDLastSave="0" documentId="13_ncr:1_{832C9391-4A2C-43D7-A0FB-D3654CA9CBA6}" xr6:coauthVersionLast="47" xr6:coauthVersionMax="47" xr10:uidLastSave="{00000000-0000-0000-0000-000000000000}"/>
  <bookViews>
    <workbookView xWindow="-120" yWindow="-120" windowWidth="29040" windowHeight="15840" xr2:uid="{00000000-000D-0000-FFFF-FFFF00000000}"/>
  </bookViews>
  <sheets>
    <sheet name="안내" sheetId="1" r:id="rId1"/>
    <sheet name="요약" sheetId="2" r:id="rId2"/>
    <sheet name="수집데이터_전력" sheetId="3" r:id="rId3"/>
    <sheet name="수집데이터_수소" sheetId="4" r:id="rId4"/>
    <sheet name="운영·비정형 데이터" sheetId="5" r:id="rId5"/>
    <sheet name="설계수명·교체주기" sheetId="6" r:id="rId6"/>
    <sheet name="법정 점검" sheetId="7" r:id="rId7"/>
    <sheet name="분석항목×주기" sheetId="8" r:id="rId8"/>
    <sheet name="정기 리포트 구성" sheetId="9" r:id="rId9"/>
    <sheet name="AI 분석 방법" sheetId="10" r:id="rId10"/>
    <sheet name="개선항목·기대효과" sheetId="11" r:id="rId11"/>
    <sheet name="축적기간별 로드맵" sheetId="12" r:id="rId12"/>
    <sheet name="검증 결과" sheetId="13" r:id="rId13"/>
    <sheet name="출처" sheetId="14" r:id="rId14"/>
    <sheet name="가평 사이트" sheetId="15" r:id="rId15"/>
    <sheet name="가평 P&amp;ID 고장모드" sheetId="16" r:id="rId16"/>
  </sheets>
  <definedNames>
    <definedName name="_xlnm._FilterDatabase" localSheetId="9" hidden="1">'AI 분석 방법'!$A$5:$K$136</definedName>
    <definedName name="_xlnm._FilterDatabase" localSheetId="15" hidden="1">'가평 P&amp;ID 고장모드'!$A$5:$H$63</definedName>
    <definedName name="_xlnm._FilterDatabase" localSheetId="10" hidden="1">개선항목·기대효과!$A$5:$E$23</definedName>
    <definedName name="_xlnm._FilterDatabase" localSheetId="12" hidden="1">'검증 결과'!$A$5:$F$320</definedName>
    <definedName name="_xlnm._FilterDatabase" localSheetId="6" hidden="1">'법정 점검'!$A$5:$D$14</definedName>
    <definedName name="_xlnm._FilterDatabase" localSheetId="7" hidden="1">분석항목×주기!$A$5:$K$55</definedName>
    <definedName name="_xlnm._FilterDatabase" localSheetId="5" hidden="1">설계수명·교체주기!$A$5:$F$29</definedName>
    <definedName name="_xlnm._FilterDatabase" localSheetId="3" hidden="1">수집데이터_수소!$A$5:$H$130</definedName>
    <definedName name="_xlnm._FilterDatabase" localSheetId="2" hidden="1">수집데이터_전력!$A$5:$H$108</definedName>
    <definedName name="_xlnm._FilterDatabase" localSheetId="4" hidden="1">'운영·비정형 데이터'!$A$5:$D$141</definedName>
    <definedName name="_xlnm._FilterDatabase" localSheetId="8" hidden="1">'정기 리포트 구성'!$A$5:$D$37</definedName>
    <definedName name="_xlnm._FilterDatabase" localSheetId="13" hidden="1">출처!$A$5:$D$609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3" i="2" l="1"/>
  <c r="B22" i="2"/>
  <c r="B21" i="2"/>
  <c r="D17" i="2"/>
  <c r="C17" i="2"/>
  <c r="B17" i="2"/>
  <c r="D16" i="2"/>
  <c r="C16" i="2"/>
  <c r="B16" i="2"/>
  <c r="D15" i="2"/>
  <c r="C15" i="2"/>
  <c r="B15" i="2"/>
  <c r="D14" i="2"/>
  <c r="C14" i="2"/>
  <c r="B14" i="2"/>
  <c r="E14" i="2" s="1"/>
  <c r="D13" i="2"/>
  <c r="C13" i="2"/>
  <c r="B13" i="2"/>
  <c r="D12" i="2"/>
  <c r="C12" i="2"/>
  <c r="B12" i="2"/>
  <c r="D11" i="2"/>
  <c r="C11" i="2"/>
  <c r="B11" i="2"/>
  <c r="E11" i="2" s="1"/>
  <c r="D10" i="2"/>
  <c r="C10" i="2"/>
  <c r="B10" i="2"/>
  <c r="E10" i="2" s="1"/>
  <c r="D9" i="2"/>
  <c r="C9" i="2"/>
  <c r="B9" i="2"/>
  <c r="D8" i="2"/>
  <c r="C8" i="2"/>
  <c r="B8" i="2"/>
  <c r="D7" i="2"/>
  <c r="C7" i="2"/>
  <c r="B7" i="2"/>
  <c r="E7" i="2" s="1"/>
  <c r="D6" i="2"/>
  <c r="D18" i="2" s="1"/>
  <c r="C6" i="2"/>
  <c r="C18" i="2" s="1"/>
  <c r="B6" i="2"/>
  <c r="E9" i="2" l="1"/>
  <c r="E18" i="2" s="1"/>
  <c r="E15" i="2"/>
  <c r="E16" i="2"/>
  <c r="E6" i="2"/>
  <c r="E17" i="2"/>
  <c r="E12" i="2"/>
  <c r="E13" i="2"/>
  <c r="E8" i="2"/>
  <c r="B18" i="2"/>
</calcChain>
</file>

<file path=xl/sharedStrings.xml><?xml version="1.0" encoding="utf-8"?>
<sst xmlns="http://schemas.openxmlformats.org/spreadsheetml/2006/main" count="9713" uniqueCount="5833">
  <si>
    <t>이 워크북 읽는 법</t>
  </si>
  <si>
    <t>실제 원시데이터가 없는 상태에서 업계 표준·공공기관·제조사 자료를 근거로 만든 예상안입니다. 수치는 출처 기준이며 설비 사양이 정해지면 다시 확인해야 합니다. 제2판(2026-09-17)에서 실제 사업 도면(가평 2MW 청정수소발전 P&amp;ID, FCND-GP-PID-002 REV.2) 적용 결과를 더했습니다. 초판 2026-09-14.</t>
  </si>
  <si>
    <t>주식회사 퍼스트씨앤디 · 작성일 2026. 09. 17</t>
  </si>
  <si>
    <t>시트</t>
  </si>
  <si>
    <t>내용</t>
  </si>
  <si>
    <t>요약</t>
  </si>
  <si>
    <t>시트별 항목 수를 수식으로 집계</t>
  </si>
  <si>
    <t>수집데이터_전력</t>
  </si>
  <si>
    <t>태양광·ESS·계통·부지 공통 설비에서 보통 받는 운전 데이터(텔레메트리)</t>
  </si>
  <si>
    <t>수집데이터_수소</t>
  </si>
  <si>
    <t>수전해·압축저장·연료전지에서 보통 받는 운전 데이터 + 가평 도면으로 더한 부속 계통 39행(산소·폐열·수처리·감압·반입)</t>
  </si>
  <si>
    <t>운영·비정형 데이터</t>
  </si>
  <si>
    <t>명판·정비이력·알람코드·점검사진·설정값 등 계측 외 데이터 + 반입·출하 전표 등 장부 데이터</t>
  </si>
  <si>
    <t>설계수명·교체주기</t>
  </si>
  <si>
    <t>설비별 기대수명, 대표 열화율, 소모품·점검 주기</t>
  </si>
  <si>
    <t>법정 점검</t>
  </si>
  <si>
    <t>국내 법정 정기검사·자체점검 주기</t>
  </si>
  <si>
    <t>분석항목×주기</t>
  </si>
  <si>
    <t>월간·분기·연간 AI 분석으로 판정 가능한 항목과 리포트 문장 예시(가평 구성 탐지기 3종 포함)</t>
  </si>
  <si>
    <t>정기 리포트 구성</t>
  </si>
  <si>
    <t>월간·분기·연간·수시 리포트의 표준 섹션</t>
  </si>
  <si>
    <t>AI 분석 방법</t>
  </si>
  <si>
    <t>현장 질문 → 입력 데이터 → 방법 → 결과 → 개선 코칭. 마지막 2행은 실제로 구현된 AI 설명 층</t>
  </si>
  <si>
    <t>개선항목·기대효과</t>
  </si>
  <si>
    <t>노후 지연·손실 회수 등 개선 여지와 근거</t>
  </si>
  <si>
    <t>축적기간별 로드맵</t>
  </si>
  <si>
    <t>데이터가 쌓이는 기간별로 가능해지는 분석</t>
  </si>
  <si>
    <t>검증 결과</t>
  </si>
  <si>
    <t>리서치 주장별 출처 대조 결과(검증·부분·미확인·반박)</t>
  </si>
  <si>
    <t>출처</t>
  </si>
  <si>
    <t>번호별 출처 목록(초판 485행 + 가평 도면 조사 119행)</t>
  </si>
  <si>
    <t>가평 사이트</t>
  </si>
  <si>
    <t>실제 사업 도면 적용 결과 — 설비 트리·명판, 매핑한 계장 태그, 신설 요청 포인트</t>
  </si>
  <si>
    <t>가평 P&amp;ID 고장모드</t>
  </si>
  <si>
    <t>부속 계통 다섯 갈래의 고장 모드·신호·탐지 방법·오탐 함정·권장 조치</t>
  </si>
  <si>
    <t>범례</t>
  </si>
  <si>
    <t>우선순위 필수=핵심 판정에 반드시 필요 / 권장=정확도·오탐 방지 / 선택=있으면 좋음. 주기 ●=해당 주기 리포트에서 판정. 명판·값의 '미확인'은 추정으로 채우지 않고 남긴 값이며 회신 대기 목록입니다</t>
  </si>
  <si>
    <t>수집 데이터 항목 수 (분야 × 우선순위)</t>
  </si>
  <si>
    <t>다른 시트의 행을 COUNTIFS로 집계합니다. 원본 시트를 고치면 자동으로 바뀝니다. 아래 표에 분석 주기별 항목 수가 이어집니다.</t>
  </si>
  <si>
    <t>분야</t>
  </si>
  <si>
    <t>필수</t>
  </si>
  <si>
    <t>권장</t>
  </si>
  <si>
    <t>선택</t>
  </si>
  <si>
    <t>합계</t>
  </si>
  <si>
    <t>태양광</t>
  </si>
  <si>
    <t>ESS</t>
  </si>
  <si>
    <t>연계·계통</t>
  </si>
  <si>
    <t>수전해(PEM)</t>
  </si>
  <si>
    <t>압축·저장·안전</t>
  </si>
  <si>
    <t>연료전지(PEM)</t>
  </si>
  <si>
    <t>공통·부지</t>
  </si>
  <si>
    <t>부산물 산소</t>
  </si>
  <si>
    <t>폐열회수</t>
  </si>
  <si>
    <t>수처리</t>
  </si>
  <si>
    <t>감압·버퍼</t>
  </si>
  <si>
    <t>외부 반입</t>
  </si>
  <si>
    <t>분석 주기</t>
  </si>
  <si>
    <t>항목 수</t>
  </si>
  <si>
    <t>월간</t>
  </si>
  <si>
    <t>분기</t>
  </si>
  <si>
    <t>연간</t>
  </si>
  <si>
    <t>태양광·ESS·계통·공통에서 보통 받는 데이터</t>
  </si>
  <si>
    <t>인버터·BMS·계량기·기상센서 등에서 수집하는 운전 데이터. 우선순위 필수 항목부터 데이터 계약에 넣기를 권장합니다.</t>
  </si>
  <si>
    <t>구성품</t>
  </si>
  <si>
    <t>데이터 항목</t>
  </si>
  <si>
    <t>단위</t>
  </si>
  <si>
    <t>수집 주기</t>
  </si>
  <si>
    <t>우선순위</t>
  </si>
  <si>
    <t>이 데이터로 알 수 있는 것</t>
  </si>
  <si>
    <t>출처·장치·프로토콜</t>
  </si>
  <si>
    <t>PV 스트링</t>
  </si>
  <si>
    <t>스트링별 전류</t>
  </si>
  <si>
    <t>A</t>
  </si>
  <si>
    <t>1~5분(가능하면 1분)</t>
  </si>
  <si>
    <t>피어 비교로 스트링 개방·저성과·음영·국부 결함을 스트링 단위로 특정. 없으면 MPPT 채널 단위까지만 추론 가능.</t>
  </si>
  <si>
    <t>스트링 인버터 입력 레지스터 또는 감시형 접속반 CT(SunSpec 403/404)</t>
  </si>
  <si>
    <t>인버터 DC 측</t>
  </si>
  <si>
    <t>MPPT 채널별 전압·전류</t>
  </si>
  <si>
    <t>V, A</t>
  </si>
  <si>
    <t>1분</t>
  </si>
  <si>
    <t>기대 Vmp 대비 전압 비로 바이패스 다이오드 단락(1/3 모듈 계단)·PID 판정, 채널 간 kWh/kWp 비교로 MPPT 추종 불량 탐지.</t>
  </si>
  <si>
    <t>SunSpec 160, 제조사 Modbus</t>
  </si>
  <si>
    <t>절연저항(Riso) 기동 시 측정값</t>
  </si>
  <si>
    <t>kΩ</t>
  </si>
  <si>
    <t>기동 시 1회/일(가능하면 연속)</t>
  </si>
  <si>
    <t>습도 보정 후 추세 하락으로 백시트 크랙·박판 유리 파손·케이블 손상·커넥터 침수를 선제 탐지. 화재·감전 위험 지표.</t>
  </si>
  <si>
    <t>SunSpec 122 Ris 또는 제조사 레지스터</t>
  </si>
  <si>
    <t>인버터 AC 측</t>
  </si>
  <si>
    <t>운전 상태·고장코드·경고 비트(원시 코드 + 타임스탬프)</t>
  </si>
  <si>
    <t>enum/bitfield</t>
  </si>
  <si>
    <t>변화 시 이벤트 + 1분 폴링</t>
  </si>
  <si>
    <t>모드 분리(대기/MPPT/클리핑/출력제한/디레이팅/트립), 트립 원인 분류, 고장 빈도 추세. AI 고장 분류의 라벨 원천.</t>
  </si>
  <si>
    <t>SunSpec 103 St/Evt, 제조사 이벤트 로그</t>
  </si>
  <si>
    <t>출력제한 설정값·무효전력 모드·역률 설정(설정 스냅샷)</t>
  </si>
  <si>
    <t>%, mode, PF</t>
  </si>
  <si>
    <t>변화 시 + 일 1회 스냅샷</t>
  </si>
  <si>
    <t>출력제어 손실과 고장 손실 분리, 설정 잔존·펌웨어 업데이트 후 기본값 복귀 검출, Volt-Var 운전에 따른 유효전력 영향 해석.</t>
  </si>
  <si>
    <t>SunSpec 123/126(Volt-Var)/127, 제조사 레지스터, 중개사업자·KPX 지령 이력</t>
  </si>
  <si>
    <t>방열판·IGBT·함체 온도 및 디레이팅 플래그</t>
  </si>
  <si>
    <t>°C, bool</t>
  </si>
  <si>
    <t>1~5분</t>
  </si>
  <si>
    <t>부하·외기 bin 대비 온도 상승으로 팬·필터·방열 열화와 IGBT 열화를 조기 탐지. 디레이팅 손실량 산출.</t>
  </si>
  <si>
    <t>SunSpec 103 TmpSnk/TmpCab/TmpTrns, 제조사 레지스터</t>
  </si>
  <si>
    <t>AC 유효·무효전력, 상전압·상전류, 주파수, 누적 kWh</t>
  </si>
  <si>
    <t>kW, kvar, V, A, Hz, kWh</t>
  </si>
  <si>
    <t>1분(kWh 5~15분)</t>
  </si>
  <si>
    <t>기본 발전 성과, 효율(P_AC/P_DC), 상 불평형, 계통 전압 상승 트립 원인 분석.</t>
  </si>
  <si>
    <t>SunSpec 103, REMS 항목</t>
  </si>
  <si>
    <t>기상센서</t>
  </si>
  <si>
    <t>경사면 일사(POA)·모듈온도·외기온·풍속</t>
  </si>
  <si>
    <t>W/m², °C, m/s</t>
  </si>
  <si>
    <t>IEC 61724-1 Class A: 3초 샘플/1분 기록(실무 최소 1분 평균)</t>
  </si>
  <si>
    <t>기대발전량(물리 모델)과 온도보정 PR의 입력. 이 값의 정확도가 모든 손실 분해의 상한을 정한다.</t>
  </si>
  <si>
    <t>ISO 9060 일사계/기준셀, PT100, SunSpec 302/303</t>
  </si>
  <si>
    <t>위성·수치예보 일사/기온(외부 API)</t>
  </si>
  <si>
    <t>W/m², °C</t>
  </si>
  <si>
    <t>실황 10~15분, 예보 1시간(익일 48시간)</t>
  </si>
  <si>
    <t>현장 일사계 드리프트 교차검증, 센서 없는 소규모 사이트의 기대발전량, 발전량 예측(KPX 예측제도) 입력.</t>
  </si>
  <si>
    <t>기상청 ASOS·동네예보/천리안 위성 일사, 상용 일사 API</t>
  </si>
  <si>
    <t>변압기·수배전</t>
  </si>
  <si>
    <t>변압기 온도, 보호계전기 동작 이벤트, VCB 상태</t>
  </si>
  <si>
    <t>°C, event</t>
  </si>
  <si>
    <t>5분 + 이벤트</t>
  </si>
  <si>
    <t>사이트 전체 정지 원인(수배전 트립 vs 계통 정전 vs 인버터) 분리, 변압기 과열 추세.</t>
  </si>
  <si>
    <t>디지털 보호계전기(Modbus/DNP3/IEC 61850), 온도계전기 4-20mA</t>
  </si>
  <si>
    <t>계량</t>
  </si>
  <si>
    <t>한전 거래용 계량기 15분 송·수전 kWh</t>
  </si>
  <si>
    <t>kWh</t>
  </si>
  <si>
    <t>15분</t>
  </si>
  <si>
    <t>수익 기준 발전량, 인버터 합계와 비교한 AC 측 손실·계측 오류, 야간 수전(무부하손) 추세.</t>
  </si>
  <si>
    <t>한전 AMI(파워플래너 등), 사이트 전력량계</t>
  </si>
  <si>
    <t>모니터링</t>
  </si>
  <si>
    <t>통신 상태·데이터 결손·시계 오차</t>
  </si>
  <si>
    <t>s, %</t>
  </si>
  <si>
    <t>1분 heartbeat</t>
  </si>
  <si>
    <t>통신 두절과 실제 정지 구분(가동률 오판 방지), 결측률이 높은 구간의 분석 제외.</t>
  </si>
  <si>
    <t>수집 서버 산출, RTU 로그</t>
  </si>
  <si>
    <t>IV 커브 스캔 데이터(점 배열 + 스캔 시 POA·모듈온도)</t>
  </si>
  <si>
    <t>V, A (곡선 100~수백 점)</t>
  </si>
  <si>
    <t>월 1회~분기 1회, 이상 의심 시 수시(청천 POA&gt;600 W/m², 안정 구간)</t>
  </si>
  <si>
    <t>Isc(오염·열화), Voc(다이오드 단락·PID), FF와 곡선 기울기(Rs 증가=커넥터·리본 열화, Rsh 감소=PID·션트), 계단(음영·크랙·다이오드 도통)을 분리해 원인을 좁힌다. 원격으로 모듈 단위에 가장 가까운 진단.</t>
  </si>
  <si>
    <t>인버터 내장 스마트 IV 스캔(화웨이·선그로우 등 제조사 기능, 파일/클라우드 API) 또는 휴대형 IV 트레이서(IEC 62446-1 준공·정기 시험)</t>
  </si>
  <si>
    <t>잔류(누설)전류 및 RCMU 이벤트</t>
  </si>
  <si>
    <t>mA, event</t>
  </si>
  <si>
    <t>1분 + 이벤트</t>
  </si>
  <si>
    <t>30mA 급변 트립 전 누설 증가 추세(SMA 매뉴얼 기준, 300mA 연속 기준은 미확인), 습윤 시간대 상관으로 지락 진행 판단.</t>
  </si>
  <si>
    <t>제조사 레지스터, 고장코드</t>
  </si>
  <si>
    <t>직류 아크 검출(AFCI) 이벤트·자가시험 결과</t>
  </si>
  <si>
    <t>event, 채널 ID</t>
  </si>
  <si>
    <t>이벤트</t>
  </si>
  <si>
    <t>커넥터 이종 혼합·압착 불량·케이블 손상 등 화재 전조 위치(채널) 특정. 반복 발생 채널을 우선 IR 점검 대상으로.</t>
  </si>
  <si>
    <t>인버터 이벤트 로그(UL 1699B/IEC 63027 기능)</t>
  </si>
  <si>
    <t>계통 이벤트 고속 기록(전압 딥·주파수 이탈, LVRT/FRT 동작 여부)</t>
  </si>
  <si>
    <t>V, Hz, ms</t>
  </si>
  <si>
    <t>이벤트 트리거 파형/RMS(수 ms~100ms), 없으면 이벤트 로그</t>
  </si>
  <si>
    <t>LVRT/HVRT/LFRT 설정 준수 확인, 계통 원인 트립 입증(보상·책임 분리), 동일 선로 사이트 동시 이벤트 분석.</t>
  </si>
  <si>
    <t>인버터 이벤트 레코더, 전력품질 분석기, 디지털 보호계전기</t>
  </si>
  <si>
    <t>후면 일사/알베도(양면 모듈 설비)</t>
  </si>
  <si>
    <t>W/m²</t>
  </si>
  <si>
    <t>양면 이득 분리. 적설·지면 식생·자갈 변화에 따른 후면 기여 변동을 오염·열화와 구분.</t>
  </si>
  <si>
    <t>후면 일사계 또는 알베도계(상·하향 일사계 쌍)</t>
  </si>
  <si>
    <t>트래커</t>
  </si>
  <si>
    <t>트래커 목표각·실제각·모터전류·스토우 상태</t>
  </si>
  <si>
    <t>°, A, enum</t>
  </si>
  <si>
    <t>추종 고착·각도 오차·스토우 오동작 탐지. 시각별 손실 비대칭의 원인 확정.</t>
  </si>
  <si>
    <t>트래커 컨트롤러(Modbus TCP/무선 게이트웨이)</t>
  </si>
  <si>
    <t>접속반</t>
  </si>
  <si>
    <t>접속반 내부 온도·SPD/퓨즈 접점·버스 전압</t>
  </si>
  <si>
    <t>°C, event, V</t>
  </si>
  <si>
    <t>단자 접촉저항 증가(전류² 정규화 온도 상승), SPD 열화, 낙뢰 후 점검 트리거.</t>
  </si>
  <si>
    <t>SunSpec 403 Tmp/Evt, 접속반 DI</t>
  </si>
  <si>
    <t>냉각팬 회전수/팬 경보</t>
  </si>
  <si>
    <t>rpm, event</t>
  </si>
  <si>
    <t>5분 또는 이벤트</t>
  </si>
  <si>
    <t>팬 고장 직접 확인(온도 추론 교차검증), 팬 교체 주기 최적화.</t>
  </si>
  <si>
    <t>제조사 레지스터(대부분 경보 비트만 제공)</t>
  </si>
  <si>
    <t>DC 링크 전압·리플(제공 시)</t>
  </si>
  <si>
    <t>V, Vpp</t>
  </si>
  <si>
    <t>1분(리플은 진단 시)</t>
  </si>
  <si>
    <t>DC 링크 커패시터 ESR 증가·용량 감소 징후. 효율 저하와 결합하면 커패시터 수명 예측 입력.</t>
  </si>
  <si>
    <t>제조사 서비스 레지스터(일반 공개 안 되는 경우 많음)</t>
  </si>
  <si>
    <t>오염 측정소(세척/비세척 기준셀 Isc 비)</t>
  </si>
  <si>
    <t>비(0~1)</t>
  </si>
  <si>
    <t>일 1회 대표값(정오 청천 구간), 원시 1분</t>
  </si>
  <si>
    <t>오염비 직접 측정으로 발전데이터 기반 SRR 추정 검증. 세척 시점 결정의 근거. 불균일 오염(모듈 하단 퇴적)은 Isc 방식이 과소평가할 수 있다(IEA PVPS T13-21).</t>
  </si>
  <si>
    <t>상용 soiling station, 또는 기준셀 2개 + 세척 일정</t>
  </si>
  <si>
    <t>battery_cell</t>
  </si>
  <si>
    <t>개별 셀 전압 배열</t>
  </si>
  <si>
    <t>V (1mV 해상도)</t>
  </si>
  <si>
    <t>충·방전 중 10~30초, 휴지 1~5분, 충전 종료·전류 스텝·경보 전후 1초 버스트</t>
  </si>
  <si>
    <t>셀 불균형·약한 셀 특정, 휴지 중 피어 대비 mV/일 하락(미세단락·화재 전조), 셀 단위 ICA/DVA, 비지도 이상탐지의 기본 입력. 없으면 최고/최저 셀 위치 ID로 대체해야 해 탐지력이 크게 떨어짐</t>
  </si>
  <si>
    <t>MBMS AFE → RBMS → BMS 로컬 DB 또는 Modbus TCP 확장 레지스터(제조사 데이터 계약 필요)</t>
  </si>
  <si>
    <t>battery_module</t>
  </si>
  <si>
    <t>셀·모듈 온도 배열과 센서 위치 맵</t>
  </si>
  <si>
    <t>°C</t>
  </si>
  <si>
    <t>10초~1분(경보 시 1~5초)</t>
  </si>
  <si>
    <t>국부 발열·체결 불량·냉각 불균일, 열폭주 전조(dT/dt), 모든 전압·용량·저항 지표의 온도 보정 기준</t>
  </si>
  <si>
    <t>MBMS 서미스터, 설계도면(위치 맵)</t>
  </si>
  <si>
    <t>battery_rack</t>
  </si>
  <si>
    <t>랙 전압·전류 고속 버스트</t>
  </si>
  <si>
    <t>평시 1~10초, 전류 스텝·충전 종료 후 30분·방전 시작 직후 ≤1초</t>
  </si>
  <si>
    <t>DCIR(ΔV/ΔI), CV 테이퍼 형상, 충전 후 전압 완화 곡선의 plateau(리튬 석출 신호), ICA 계산 해상도 확보</t>
  </si>
  <si>
    <t>RBMS, PCS 고속 로거</t>
  </si>
  <si>
    <t>최고/최저 셀 전압·온도와 위치 ID</t>
  </si>
  <si>
    <t>V, °C, ID</t>
  </si>
  <si>
    <t>1~10초</t>
  </si>
  <si>
    <t>셀 배열이 없을 때의 최소 대안. 반복 셀 ID로 약한 셀·과열 모듈 특정, 보호 한계 근접 시간 산출</t>
  </si>
  <si>
    <t>RBMS, SunSpec 803(CellVMax/Min, ModTmpMax/Min 등)</t>
  </si>
  <si>
    <t>battery_bank</t>
  </si>
  <si>
    <t>충전/방전 전류 한계(CCL/DCL)</t>
  </si>
  <si>
    <t>A 또는 kW</t>
  </si>
  <si>
    <t>디레이팅 발생 시각·원인(온도·SOC·셀 편차), PCS 지령 대비 실적 차이 설명, 저온 충전 제한 준수 확인</t>
  </si>
  <si>
    <t>BMS → PCS CAN/Modbus, SunSpec 802 AChaMax/ADisChaMax</t>
  </si>
  <si>
    <t>DC 절연저항(+극/−극 대지)</t>
  </si>
  <si>
    <t>결로·빗물 유입·케이블 손상의 조기 신호(Elkhorn 화재는 절연 경보 2일 뒤 발화), 습도·강우와 상관 분석, 규정상 경보·차단 기준 준수</t>
  </si>
  <si>
    <t>절연감시장치(IMD) Modbus</t>
  </si>
  <si>
    <t>BMS 경보·보호 코드(발생·해제 타임스탬프)</t>
  </si>
  <si>
    <t>code/bitfield</t>
  </si>
  <si>
    <t>이벤트 + 10초 폴링</t>
  </si>
  <si>
    <t>보호 동작 빈도와 선후관계(어느 신호가 먼저였나), 사고 조사, 지도학습 라벨</t>
  </si>
  <si>
    <t>BMS 이벤트 로그·운영데이터 기록장치(블랙박스)</t>
  </si>
  <si>
    <t>운영 SOC 상·하한 및 보호 임계값 설정 이력</t>
  </si>
  <si>
    <t>%, V, °C</t>
  </si>
  <si>
    <t>변경 이벤트 + 1일 스냅샷</t>
  </si>
  <si>
    <t>충전율 제한(옥내 80%/옥외 90%, 보증수명 기준) 실제 준수 여부, 설정 변경에 따른 지표 기준선 재설정 시점</t>
  </si>
  <si>
    <t>EMS·BMS 파라미터 DB</t>
  </si>
  <si>
    <t>ess_pcs</t>
  </si>
  <si>
    <t>PCS 유효·무효전력 지령과 실적</t>
  </si>
  <si>
    <t>kW, kvar</t>
  </si>
  <si>
    <t>평시 1~10초, 주파수 응답 운전 시 ≤200ms</t>
  </si>
  <si>
    <t>운전 모드 자동 판별, 지령 추종 오차, 디레이팅 손실 에너지, 계통 서비스 성능</t>
  </si>
  <si>
    <t>PCS Modbus TCP / IEC 61850, EMS</t>
  </si>
  <si>
    <t>PCS DC측·AC측 전압·전류·전력</t>
  </si>
  <si>
    <t>V, A, kW</t>
  </si>
  <si>
    <t>방향·부하율별 변환효율, RTE 손실을 배터리/PCS/보조전력으로 분해</t>
  </si>
  <si>
    <t>PCS, 전력량계</t>
  </si>
  <si>
    <t>PCS 운전 상태·고장 코드</t>
  </si>
  <si>
    <t>enum</t>
  </si>
  <si>
    <t>이벤트 + 10초</t>
  </si>
  <si>
    <t>가동률, 트립 원인·빈도, BMS 폴트와의 선후관계</t>
  </si>
  <si>
    <t>PCS Modbus</t>
  </si>
  <si>
    <t>ems</t>
  </si>
  <si>
    <t>EMS 운전 모드·스케줄·지령 이력</t>
  </si>
  <si>
    <t>enum, kW</t>
  </si>
  <si>
    <t>지령 변경 이벤트 + 1분</t>
  </si>
  <si>
    <t>운전전략별 열화 스트레스 귀속(고SOC 대기 시간, DOD, C-rate), 최적화 적용 전후 비교</t>
  </si>
  <si>
    <t>EMS DB</t>
  </si>
  <si>
    <t>battery_room</t>
  </si>
  <si>
    <t>배터리실 온도·습도·이슬점(복수 지점)</t>
  </si>
  <si>
    <t>°C, %RH</t>
  </si>
  <si>
    <t>결로·절연저하 위험, 공조 성능, 셀 온도 외란 원인</t>
  </si>
  <si>
    <t>환경센서 Modbus/4-20mA</t>
  </si>
  <si>
    <t>liquid_cooling</t>
  </si>
  <si>
    <t>냉각수 입·출구 온도, 유량, 압력, 누설 감지</t>
  </si>
  <si>
    <t>°C, L/min, bar, bool</t>
  </si>
  <si>
    <t>10초~1분</t>
  </si>
  <si>
    <t>액냉식 설비의 냉각 성능·펌프 열화·누설(누설은 화재·절연 사고로 이어진 사례 있음)</t>
  </si>
  <si>
    <t>칠러/냉각분배장치 PLC</t>
  </si>
  <si>
    <t>fire_safety</t>
  </si>
  <si>
    <t>연기·열 감지기, 소화설비 준비/방출, 비상정지, 도어 개폐</t>
  </si>
  <si>
    <t>안전 인터록 상태, 점검 중 구간 자동 필터링, 사고 타임라인</t>
  </si>
  <si>
    <t>화재수신기 접점, 출입 센서</t>
  </si>
  <si>
    <t>data_gateway</t>
  </si>
  <si>
    <t>통신 heartbeat·데이터 품질 플래그</t>
  </si>
  <si>
    <t>bool, code</t>
  </si>
  <si>
    <t>데이터 결손과 실제 정지 구분, 안전 상태 불명 알림, 분석 제외 구간 표시</t>
  </si>
  <si>
    <t>게이트웨이/RTU</t>
  </si>
  <si>
    <t>셀별 밸런싱 동작 플래그·누적 시간</t>
  </si>
  <si>
    <t>bool, s</t>
  </si>
  <si>
    <t>1분 또는 충전 세션별 요약</t>
  </si>
  <si>
    <t>반복 밸런싱 셀(자가방전·용량 편차 후보), 밸런싱 회로 고장(상시 ON/무동작), 밸런싱 부족으로 인한 가역적 용량 손실</t>
  </si>
  <si>
    <t>MBMS</t>
  </si>
  <si>
    <t>랙 SOC·SOH·BMS 추정 용량(Ah)·추정 내부저항</t>
  </si>
  <si>
    <t>%, Ah, mΩ</t>
  </si>
  <si>
    <t>SOC 10초~1분, 용량·SOH·저항 1일 또는 갱신 이벤트</t>
  </si>
  <si>
    <t>BMS 내부 모델 상태와 재보정 시점, 독립 추정(칼만필터·조건매칭)과의 교차검증, 랙 간 노화 편차</t>
  </si>
  <si>
    <t>RBMS/BBMS, SunSpec 802</t>
  </si>
  <si>
    <t>접촉기 상태·누적 개폐 횟수·프리차지 소요시간</t>
  </si>
  <si>
    <t>enum, 회, ms</t>
  </si>
  <si>
    <t>이벤트(타임스탬프 ms~s)</t>
  </si>
  <si>
    <t>명령 없는 개방(보호동작), 접촉기 수명 소모, 프리차지 저항·DC링크 이상, 병렬 랙 투입 실패</t>
  </si>
  <si>
    <t>RBMS 이벤트 로그</t>
  </si>
  <si>
    <t>누적 충·방전 Ah/kWh 카운터</t>
  </si>
  <si>
    <t>Ah, kWh</t>
  </si>
  <si>
    <t>1~15분</t>
  </si>
  <si>
    <t>등가 완전 사이클(EFC)·처리량 보증 대비 사용률, DC RTE</t>
  </si>
  <si>
    <t>BMS 적산 카운터</t>
  </si>
  <si>
    <t>계통 주파수·전압</t>
  </si>
  <si>
    <t>Hz, V</t>
  </si>
  <si>
    <t>100ms~1초</t>
  </si>
  <si>
    <t>드룹 응답 검증, 계통 외란과 PCS 트립 상관(FR 설비는 must)</t>
  </si>
  <si>
    <t>PCS 계측, 전력품질계</t>
  </si>
  <si>
    <t>IGBT/방열판 온도·냉각팬 상태·DC링크 전압</t>
  </si>
  <si>
    <t>°C, rpm, V</t>
  </si>
  <si>
    <t>전력반도체 열피로, DC링크 커패시터 열화(리플), 냉각 이상</t>
  </si>
  <si>
    <t>PCS</t>
  </si>
  <si>
    <t>hvac_unit</t>
  </si>
  <si>
    <t>HVAC 상태·공급/환기 온도·압축기 듀티·소비전력</t>
  </si>
  <si>
    <t>enum, °C, %, kW</t>
  </si>
  <si>
    <t>냉방 유효도, 냉매 누설·필터 막힘, 보조전력 비중(RTE)</t>
  </si>
  <si>
    <t>HVAC 컨트롤러, 보조전력 CT</t>
  </si>
  <si>
    <t>오프가스(전해질 VOC·H2·CO) 농도</t>
  </si>
  <si>
    <t>ppm</t>
  </si>
  <si>
    <t>셀 벤팅 단계의 열폭주 전조 — 연기·열 감지보다 수 분 앞선 경고 가능. 신규·개조 설비에는 must로 격상 권장</t>
  </si>
  <si>
    <t>오프가스 센서 Modbus/4-20mA</t>
  </si>
  <si>
    <t>site</t>
  </si>
  <si>
    <t>외기 온·습도, 일사량</t>
  </si>
  <si>
    <t>°C, %RH, W/m²</t>
  </si>
  <si>
    <t>계절·온도 bin 정규화, HVAC 부하 모델, 태양광 충전전류 변동 설명</t>
  </si>
  <si>
    <t>현장 기상센서, 기상청 API</t>
  </si>
  <si>
    <t>보조전력량·거래용 전력량계</t>
  </si>
  <si>
    <t>시스템 RTE, 대기 손실, 수익 산정</t>
  </si>
  <si>
    <t>전력량계(AMI)</t>
  </si>
  <si>
    <t>휴지 구간 셀 전압 스냅샷(휴지 30분·2시간·12시간 시점)</t>
  </si>
  <si>
    <t>V</t>
  </si>
  <si>
    <t>휴지 이벤트별</t>
  </si>
  <si>
    <t>연속 셀 배열 수집이 어려울 때의 최소 계약. OCV 기반 SOC, 셀별 자가방전 속도, ICA 기준점</t>
  </si>
  <si>
    <t>BMS 로컬 스냅샷 기능(제조사 협의)</t>
  </si>
  <si>
    <t>대기 중 전류센서 영점 값</t>
  </si>
  <si>
    <t>1분(휴지 구간)</t>
  </si>
  <si>
    <t>쿨롱카운팅 SOC 드리프트 원인 판별, 센서 교정 필요성</t>
  </si>
  <si>
    <t>RBMS</t>
  </si>
  <si>
    <t>계통연계점(M1)</t>
  </si>
  <si>
    <t>POI 양방향 유효전력량(수입·수출 분리 적산)</t>
  </si>
  <si>
    <t>1분 누적 카운터(거래용 AMI 15분 병행)</t>
  </si>
  <si>
    <t>사이트 순수입·순수출, 계통 보조 수전량(청정수소 탄소 계산), 에너지 수지 폐합의 기준</t>
  </si>
  <si>
    <t>거래용·내부 전력량계, Modbus TCP(SunSpec 203/204 계량기 모델) 또는 한전 AMI 데이터</t>
  </si>
  <si>
    <t>POI 순시 유효·무효전력, 역률, 전압, 주파수</t>
  </si>
  <si>
    <t>kW, kvar, -, V, Hz</t>
  </si>
  <si>
    <t>1~5초</t>
  </si>
  <si>
    <t>출력제어 준수, 역률 계약 준수, 제어 헌팅, 전해조 부하가 전압에 주는 영향</t>
  </si>
  <si>
    <t>PPC·전력품질 계측기, Modbus TCP 또는 IEC 61850</t>
  </si>
  <si>
    <t>발전소 제어기(PPC)</t>
  </si>
  <si>
    <t>출력제어 지령값·시작/종료 시각·지령 ID</t>
  </si>
  <si>
    <t>kW, 시각</t>
  </si>
  <si>
    <t>이벤트(수신 즉시)</t>
  </si>
  <si>
    <t>출력제어 손실과 내부 흡수량 분리, 발전량 저하 오판 방지, 준수 증빙</t>
  </si>
  <si>
    <t>KPX·한전 제어 신호 수신장치, PPC 로그</t>
  </si>
  <si>
    <t>태양광(M2)</t>
  </si>
  <si>
    <t>PV 인버터 AC 전력량(합계·인버터별)</t>
  </si>
  <si>
    <t>1분 누적 카운터</t>
  </si>
  <si>
    <t>PV 가용 에너지, 전해조로 간 PV 비율, 인버터 손실</t>
  </si>
  <si>
    <t>인버터 Modbus(SunSpec 103/113)</t>
  </si>
  <si>
    <t>기상관측</t>
  </si>
  <si>
    <t>경사면 일사(POA)·모듈온도·외기온</t>
  </si>
  <si>
    <t>3초 샘플/1분 기록(IEC 61724-1 Class A)</t>
  </si>
  <si>
    <t>PV 예측 학습·검증, 성능 정규화, 전해조 냉각·대기전력의 외기 보정</t>
  </si>
  <si>
    <t>현장 기상관측 설비</t>
  </si>
  <si>
    <t>ESS(M3)</t>
  </si>
  <si>
    <t>ESS PCS AC 충전·방전 전력량(분리 적산)</t>
  </si>
  <si>
    <t>ESS 경유 에너지, 왕복효율, 전해조 브리징 기여도</t>
  </si>
  <si>
    <t>PCS Modbus(SunSpec 701·802/803 계열 또는 벤더 맵)</t>
  </si>
  <si>
    <t>SOC·충방전 허용전류(CCL/DCL)·운전모드</t>
  </si>
  <si>
    <t>%, A, 코드</t>
  </si>
  <si>
    <t>EMS가 쓸 수 있는 버퍼 용량, SOC 한도(옥내 80%·옥외 90%) 준수, 브리징 가능 시간</t>
  </si>
  <si>
    <t>BMS/PCS</t>
  </si>
  <si>
    <t>전해조(M4)</t>
  </si>
  <si>
    <t>정류기 1차측 AC 전력량·순시전력·역률·THD</t>
  </si>
  <si>
    <t>kWh, kW, -, %</t>
  </si>
  <si>
    <t>카운터 1분, 순시 1초</t>
  </si>
  <si>
    <t>시스템 비에너지소비량(SEC), 정류기 역률·고조파 영향, 부분부하 효율</t>
  </si>
  <si>
    <t>전력량계·전력품질 계측기</t>
  </si>
  <si>
    <t>전해조(M5)</t>
  </si>
  <si>
    <t>스택 DC 전류·전압(정류기 2차측)</t>
  </si>
  <si>
    <t>A, V</t>
  </si>
  <si>
    <t>1초</t>
  </si>
  <si>
    <t>패러데이 이론 생산량, 정류기 효율(M5/M4), 스택 효율, 전류 리플</t>
  </si>
  <si>
    <t>정류기 제어기/DCCT, 전해조 PLC(OPC UA 또는 Modbus TCP)</t>
  </si>
  <si>
    <t>전해조(M6)</t>
  </si>
  <si>
    <t>전해조 보조설비(BoP) 전력량: 순수제조·냉각·히터·계장</t>
  </si>
  <si>
    <t>대기 손실, 보조부하 비중, 계절별 냉각·보온 에너지</t>
  </si>
  <si>
    <t>분전반 단위 서브미터</t>
  </si>
  <si>
    <t>전해조</t>
  </si>
  <si>
    <t>운전상태(정지/퍼지/승온/운전/대기/트립)와 상태 전이 시각</t>
  </si>
  <si>
    <t>코드</t>
  </si>
  <si>
    <t>모드 체류시간, 기동/정지 횟수, 대기 손실, EMS 운전 품질 평가</t>
  </si>
  <si>
    <t>전해조 PLC</t>
  </si>
  <si>
    <t>EMS</t>
  </si>
  <si>
    <t>EMS 설정값(전류·전력)과 설정 사유 코드</t>
  </si>
  <si>
    <t>A 또는 kW, 코드</t>
  </si>
  <si>
    <t>변경 시 이벤트 + 1분 스냅샷</t>
  </si>
  <si>
    <t>설정값 추종 성능, 권고 채택 효과 검증, 반사실 재시뮬레이션</t>
  </si>
  <si>
    <t>EMS 로그</t>
  </si>
  <si>
    <t>압축기(M7)</t>
  </si>
  <si>
    <t>압축기 전력량·운전상태</t>
  </si>
  <si>
    <t>kWh, 코드</t>
  </si>
  <si>
    <t>1분 카운터 + 이벤트</t>
  </si>
  <si>
    <t>압축 비에너지(kWh/kg), P2P 손실에서 압축이 차지하는 비중</t>
  </si>
  <si>
    <t>서브미터, 압축기 PLC</t>
  </si>
  <si>
    <t>수소 계량(H1)</t>
  </si>
  <si>
    <t>제품 수소 질량유량·적산(정제기 후)</t>
  </si>
  <si>
    <t>kg/h, kg</t>
  </si>
  <si>
    <t>1초(적산 1분)</t>
  </si>
  <si>
    <t>실측 생산량, 패러데이 효율, SEC 분모, 인증 생산량 근거</t>
  </si>
  <si>
    <t>코리올리·열식 유량계 → PLC</t>
  </si>
  <si>
    <t>수소 저장(H4)</t>
  </si>
  <si>
    <t>저장뱅크별 압력(절대압)·가스온도</t>
  </si>
  <si>
    <t>bar(a), °C</t>
  </si>
  <si>
    <t>10초</t>
  </si>
  <si>
    <t>재고(kg) 계산, 만충·최소예비 판단, 정지 중 누설</t>
  </si>
  <si>
    <t>압력·온도 전송기 → PLC</t>
  </si>
  <si>
    <t>연료전지(H5)</t>
  </si>
  <si>
    <t>연료전지 공급 수소 질량유량·적산</t>
  </si>
  <si>
    <t>연료전지 소비원단위(kg/MWh), P2P 효율, 재고 수지</t>
  </si>
  <si>
    <t>질량유량계</t>
  </si>
  <si>
    <t>연료전지(M8·M9)</t>
  </si>
  <si>
    <t>연료전지 총 AC 출력·기생부하 전력량</t>
  </si>
  <si>
    <t>1분 카운터(순시 1초)</t>
  </si>
  <si>
    <t>순출력, 전기효율, P2P 효율의 분자</t>
  </si>
  <si>
    <t>연료전지 제어기, 서브미터</t>
  </si>
  <si>
    <t>예측 엔진</t>
  </si>
  <si>
    <t>PV 발전량 예측 스냅샷(발행시각·대상시각·P10/P50/P90)</t>
  </si>
  <si>
    <t>kW</t>
  </si>
  <si>
    <t>발행 시마다(15분~1시간)</t>
  </si>
  <si>
    <t>예측 성능 평가, 스케줄 결정 재현(당시 무엇을 알았는지)</t>
  </si>
  <si>
    <t>예측 엔진·기상예보 API</t>
  </si>
  <si>
    <t>게이트웨이</t>
  </si>
  <si>
    <t>폴링 성공률·지연·버퍼 깊이·stale 태그 수</t>
  </si>
  <si>
    <t>%, s, 건</t>
  </si>
  <si>
    <t>데이터 신뢰도, 결측 원인이 설비인지 통신인지 구분</t>
  </si>
  <si>
    <t>게이트웨이 자체 진단</t>
  </si>
  <si>
    <t>시간동기</t>
  </si>
  <si>
    <t>NTP 오프셋·동기 여부·GNSS 상태</t>
  </si>
  <si>
    <t>ms, bool</t>
  </si>
  <si>
    <t>시간정렬 신뢰도, 15분 경계 적산 정확성</t>
  </si>
  <si>
    <t>게이트웨이·시간서버</t>
  </si>
  <si>
    <t>설비 공통</t>
  </si>
  <si>
    <t>설비별 가용상태·허용한도(P_avail, derate 사유)</t>
  </si>
  <si>
    <t>kW, 코드</t>
  </si>
  <si>
    <t>변경 시 이벤트</t>
  </si>
  <si>
    <t>가용률 계산(강제·계획 정지 구분), EMS 가용용량</t>
  </si>
  <si>
    <t>PLC·PCS·BMS</t>
  </si>
  <si>
    <t>알람·이벤트</t>
  </si>
  <si>
    <t>알람·트립·인터록 이벤트(코드·심각도·발생/해제 시각)</t>
  </si>
  <si>
    <t>이벤트(ms~s 시각)</t>
  </si>
  <si>
    <t>고장 에피소드, 가용률 손실 원인, ESD 구간을 성능 분석에서 제외</t>
  </si>
  <si>
    <t>SCADA·PLC·보호계전기 SOE</t>
  </si>
  <si>
    <t>PV 가용전력(출력제한이 없었다면 낼 수 있었던 출력)</t>
  </si>
  <si>
    <t>출력제한·클리핑으로 버려진 전력과 전해조·ESS의 추가 흡수 여지</t>
  </si>
  <si>
    <t>인버터 제공 가용전력 또는 POA 일사·모듈온도 기반 모델</t>
  </si>
  <si>
    <t>수소 계량(H2)</t>
  </si>
  <si>
    <t>벤트·퍼지·건조기 재생 손실 유량 또는 밸브 개방 이벤트</t>
  </si>
  <si>
    <t>kg, 이벤트</t>
  </si>
  <si>
    <t>이벤트 + 1분</t>
  </si>
  <si>
    <t>기동·정지 손실, 수지 잔차의 원인, 판매 가능 수소 산정</t>
  </si>
  <si>
    <t>유량계 또는 밸브 리밋스위치</t>
  </si>
  <si>
    <t>수소 출하(H6)</t>
  </si>
  <si>
    <t>외부 출하량(트레일러·배관)</t>
  </si>
  <si>
    <t>kg</t>
  </si>
  <si>
    <t>출하 건별</t>
  </si>
  <si>
    <t>판매량, 재고 수지 폐합, 분기 생산 신고 자료</t>
  </si>
  <si>
    <t>중량 전표·출하 유량계·ERP</t>
  </si>
  <si>
    <t>사이트 공용(M10)</t>
  </si>
  <si>
    <t>공용 보조부하 전력량(공조·조명·통신·보안)</t>
  </si>
  <si>
    <t>15분~1시간</t>
  </si>
  <si>
    <t>사이트 고정 손실, 에너지 수지 폐합</t>
  </si>
  <si>
    <t>서브미터</t>
  </si>
  <si>
    <t>수소 품질</t>
  </si>
  <si>
    <t>제품 수소 순도·산소 농도·이슬점</t>
  </si>
  <si>
    <t>%, ppm, °C</t>
  </si>
  <si>
    <t>인증·판매 품질(순도 99% 기준 kg 산정), 정제기 성능</t>
  </si>
  <si>
    <t>가스분석기</t>
  </si>
  <si>
    <t>용수</t>
  </si>
  <si>
    <t>원수·순수 사용량</t>
  </si>
  <si>
    <t>m³</t>
  </si>
  <si>
    <t>1시간 적산</t>
  </si>
  <si>
    <t>수소 kg당 물 사용량, 수처리 이상, LCOH 원가</t>
  </si>
  <si>
    <t>유량계</t>
  </si>
  <si>
    <t>EMS 계획 버전·목적함수 값·활성 제약 목록</t>
  </si>
  <si>
    <t>JSON</t>
  </si>
  <si>
    <t>계획 갱신 시</t>
  </si>
  <si>
    <t>최적화 품질, 병목 제약(저장 만충·SOC·수출한도·탄소예산) 식별</t>
  </si>
  <si>
    <t>시장·계약</t>
  </si>
  <si>
    <t>SMP·REC·요금·수소 판매가 시계열</t>
  </si>
  <si>
    <t>원/kWh, 원/kg</t>
  </si>
  <si>
    <t>1시간 또는 공표 주기</t>
  </si>
  <si>
    <t>PV 기회비용, 실적 LCOH, 스케줄 최적화 목적함수</t>
  </si>
  <si>
    <t>KPX 공개자료, 계약서</t>
  </si>
  <si>
    <t>정류기</t>
  </si>
  <si>
    <t>정류기 방열판 온도·냉각 상태·출력 전류 리플</t>
  </si>
  <si>
    <t>°C, %</t>
  </si>
  <si>
    <t>정류기 효율 저하·열화, 스택 열화를 앞당기는 요인</t>
  </si>
  <si>
    <t>정류기 제어기</t>
  </si>
  <si>
    <t>계통연계점 전력품질</t>
  </si>
  <si>
    <t>전압 고조파·플리커 이벤트</t>
  </si>
  <si>
    <t>%, 이벤트</t>
  </si>
  <si>
    <t>10분 집계 + 이벤트</t>
  </si>
  <si>
    <t>대용량 전해조 부하가 계통에 주는 영향, 계약·기술기준 준수</t>
  </si>
  <si>
    <t>전력품질 분석기</t>
  </si>
  <si>
    <t>게이트웨이·보안</t>
  </si>
  <si>
    <t>게이트웨이 인증 실패 이벤트</t>
  </si>
  <si>
    <t>건</t>
  </si>
  <si>
    <t>키 유출 시도, 시계 오차로 인한 서명 실패, 설정 오류 구분</t>
  </si>
  <si>
    <t>수집 API 401 로그, 게이트웨이 syslog</t>
  </si>
  <si>
    <t>HMAC 키·인증서 교체 이력</t>
  </si>
  <si>
    <t>이벤트(발급일·만료일·지문)</t>
  </si>
  <si>
    <t>변경 시</t>
  </si>
  <si>
    <t>키 수명 관리, 만료로 인한 수집 중단 예방</t>
  </si>
  <si>
    <t>콘솔 키 관리 테이블</t>
  </si>
  <si>
    <t>게이트웨이·설비</t>
  </si>
  <si>
    <t>펌웨어 버전·서명 검증 결과</t>
  </si>
  <si>
    <t>문자열/불리언</t>
  </si>
  <si>
    <t>변경 시 + 일 1회 스냅샷</t>
  </si>
  <si>
    <t>알람 사전 버전 선택, 기준선 리셋, 무단 펌웨어 탐지</t>
  </si>
  <si>
    <t>SunSpec 모델 1(Common) Vr, OEM 태그, 게이트웨이</t>
  </si>
  <si>
    <t>설정 변경 이벤트(전후 값·주체)</t>
  </si>
  <si>
    <t>SOC 창·보호정정·출력제한 변경이 성능·열화 추세에 미친 영향 분리, 무단 변경 탐지</t>
  </si>
  <si>
    <t>OEM 감사 로그, SCADA 명령 로그, 설정 해시 비교</t>
  </si>
  <si>
    <t>원격접속</t>
  </si>
  <si>
    <t>원격접속 세션(시작·종료·계정·승인번호)</t>
  </si>
  <si>
    <t>세션 시</t>
  </si>
  <si>
    <t>벤더 접속 통제 준수, 세션 중 발생한 이상과의 인과 확인</t>
  </si>
  <si>
    <t>점프 서버·VPN 로그</t>
  </si>
  <si>
    <t>정비</t>
  </si>
  <si>
    <t>작업지시 최소 필드(설비ID·발견경로·증상·다운타임 시작/종료·가용성 범주·조치·부품 시리얼·사진)</t>
  </si>
  <si>
    <t>레코드</t>
  </si>
  <si>
    <t>작업 시</t>
  </si>
  <si>
    <t>고장 분류·생존분석·조치 효과 검증의 라벨, 계약 가용률 산정</t>
  </si>
  <si>
    <t>콘솔 모바일 입력, 위탁 O&amp;M CMMS CSV</t>
  </si>
  <si>
    <t>알람</t>
  </si>
  <si>
    <t>알람·트립 원문 코드와 사전 버전</t>
  </si>
  <si>
    <t>코드(vendor, model, fw, code)</t>
  </si>
  <si>
    <t>벤더 간 비교, 공통 분류·ISO 14224 매핑, 반복 트립 원인</t>
  </si>
  <si>
    <t>인버터·BMS·PLC 이벤트 레지스터(SunSpec Evt1/EvtVnd), OEM 매뉴얼 부록</t>
  </si>
  <si>
    <t>계량·시장</t>
  </si>
  <si>
    <t>거래 계량 발전량</t>
  </si>
  <si>
    <t>L0 성과 비교, 인버터 합계 대비 수전단 손실, 수익 환산</t>
  </si>
  <si>
    <t>한전 AMI·KPX 정산 데이터(조회 경로 확인 필요)</t>
  </si>
  <si>
    <t>출력제어 지시 이력</t>
  </si>
  <si>
    <t>시작·종료·제한량(kW)</t>
  </si>
  <si>
    <t>설비 손실과 제도적 손실 분리, 오탐 억제</t>
  </si>
  <si>
    <t>KPX·한전 지시 통보, 사이트 PPC 로그</t>
  </si>
  <si>
    <t>수소·연계</t>
  </si>
  <si>
    <t>전력원별 전해조 입력 kWh(PV·ESS·계통)</t>
  </si>
  <si>
    <t>청정수소 등급 증빙, 계통 최대수요 관리, LCOH 산정</t>
  </si>
  <si>
    <t>전력량계(수전단·PV·ESS 분기), 전해조 PLC</t>
  </si>
  <si>
    <t>계통 수전 최대수요전력</t>
  </si>
  <si>
    <t>기본요금(요금적용전력) 영향, 스케줄링 최적화 가치</t>
  </si>
  <si>
    <t>한전 계량·수전단 전력량계</t>
  </si>
  <si>
    <t>수소 설비</t>
  </si>
  <si>
    <t>CVM 셀(그룹) 전압 배열</t>
  </si>
  <si>
    <t>1~10초 스냅샷 + 이벤트 버스트</t>
  </si>
  <si>
    <t>약한 셀 조기탐지, 스택 RUL. 구매 사양에 명시해야 확보 가능</t>
  </si>
  <si>
    <t>전해조·연료전지 OEM PLC(OPC UA)</t>
  </si>
  <si>
    <t>부지·토목</t>
  </si>
  <si>
    <t>강우 후 사면·배수 점검 사진·체크리스트</t>
  </si>
  <si>
    <t>사진·등급</t>
  </si>
  <si>
    <t>강우 트리거 + 분기</t>
  </si>
  <si>
    <t>토사유출·세굴 조기 발견, 산지관리법 점검 증빙</t>
  </si>
  <si>
    <t>모바일 점검 앱, 드론 RGB</t>
  </si>
  <si>
    <t>케이블·접지</t>
  </si>
  <si>
    <t>절연저항·접지저항 정기 측정값</t>
  </si>
  <si>
    <t>MΩ, Ω</t>
  </si>
  <si>
    <t>법정 점검·연 1회 이상</t>
  </si>
  <si>
    <t>절연 열화 추세, 지락·화재 위험</t>
  </si>
  <si>
    <t>전기안전관리 대행사 점검표, 절연저항계</t>
  </si>
  <si>
    <t>케이블·수배전</t>
  </si>
  <si>
    <t>커넥터·접속반·수배전반 열화상 ΔT</t>
  </si>
  <si>
    <t>연 1회 + 이상 시</t>
  </si>
  <si>
    <t>접촉저항 증가 위치, 아크·화재 선행 신호</t>
  </si>
  <si>
    <t>드론 IR, 휴대 열화상 카메라</t>
  </si>
  <si>
    <t>변압기</t>
  </si>
  <si>
    <t>유중가스분석(DGA)·절연유 시험 성적</t>
  </si>
  <si>
    <t>ppm, kV, ppm H₂O</t>
  </si>
  <si>
    <t>연 1회</t>
  </si>
  <si>
    <t>내부 과열·부분방전·아크 유형과 진행 속도</t>
  </si>
  <si>
    <t>절연유 분석기관 성적서(PDF → 구조화)</t>
  </si>
  <si>
    <t>보호계전기</t>
  </si>
  <si>
    <t>계전기 정정값·정기시험 성적</t>
  </si>
  <si>
    <t>설정값 세트·합부</t>
  </si>
  <si>
    <t>변경·시험 시</t>
  </si>
  <si>
    <t>오동작 트립 원인 분석, FRT·단독운전 설정 준수</t>
  </si>
  <si>
    <t>계전기 설정 파일, 시험 성적서</t>
  </si>
  <si>
    <t>보조전원·통신</t>
  </si>
  <si>
    <t>UPS 상태·백업시간, 라우터 신호품질</t>
  </si>
  <si>
    <t>분, dBm</t>
  </si>
  <si>
    <t>데이터 공백 원인 구분, 가용률 '정보없음' 감소</t>
  </si>
  <si>
    <t>UPS SNMP, LTE 라우터 API</t>
  </si>
  <si>
    <t>부지 관리</t>
  </si>
  <si>
    <t>예초·세척 이력</t>
  </si>
  <si>
    <t>일자·범위·비용</t>
  </si>
  <si>
    <t>음영·오염 손실 정량화, 비용편익</t>
  </si>
  <si>
    <t>작업지시</t>
  </si>
  <si>
    <t>수상 PV</t>
  </si>
  <si>
    <t>계류줄 장력·직경, 수위</t>
  </si>
  <si>
    <t>kN, mm, m</t>
  </si>
  <si>
    <t>반기(수면 부품)·2년(수중), 수위는 일</t>
  </si>
  <si>
    <t>계류 파손 전조, 수위 변동 영향</t>
  </si>
  <si>
    <t>점검 기록, 잠수사 보고서, 수자원 관리기관 수위</t>
  </si>
  <si>
    <t>BMS 블랙박스·트립 직전 버퍼 제공 여부·이력</t>
  </si>
  <si>
    <t>파일·이벤트</t>
  </si>
  <si>
    <t>사고·트립 시</t>
  </si>
  <si>
    <t>사고 원인 분석, 보증 청구 증빙</t>
  </si>
  <si>
    <t>BMS OEM 서비스 요청(계약 조항)</t>
  </si>
  <si>
    <t>수전해·압축저장·연료전지·부속 계통에서 보통 받는 데이터</t>
  </si>
  <si>
    <t>PEM 전해조·수소 압축기·고압 저장·PEM 연료전지 기준. 안전 인터록 신호는 분석과 별도로 즉시 알람 대상입니다. 분야 ‘부산물 산소’~‘외부 반입’ 39행은 가평 2MW 청정수소발전 P&amp;ID(FCND-GP-PID-002 REV.2)를 받아 더한 부속 계통 항목이며, 우선순위는 그 사이트의 매핑·신설 요청 구분입니다(필수=도면 태그가 있거나 없으면 판정 불가, 권장=정확도·오탐 방지).</t>
  </si>
  <si>
    <t>무효전력·역률·전류 THD</t>
  </si>
  <si>
    <t>kvar / ratio / %</t>
  </si>
  <si>
    <t>1 s 수집, 1 min 집계</t>
  </si>
  <si>
    <t>역률요금·보상설비 필요성, 다스택 전류 배분 최적화의 제약조건</t>
  </si>
  <si>
    <t>수전단 전력분석기(IEC 61000-4-30 Class A 권장)</t>
  </si>
  <si>
    <t>스택</t>
  </si>
  <si>
    <t>스택 전류·전압</t>
  </si>
  <si>
    <t>A / V</t>
  </si>
  <si>
    <t>1 s(이벤트 시 100 ms)</t>
  </si>
  <si>
    <t>운전점, SEC, 계단응답 저항, 분극곡선 적합</t>
  </si>
  <si>
    <t>정류기/PLC</t>
  </si>
  <si>
    <t>셀</t>
  </si>
  <si>
    <t>셀(그룹) 전압 배열</t>
  </si>
  <si>
    <t>mV</t>
  </si>
  <si>
    <t>1 s 수집, 1 min mean/min/max 저장</t>
  </si>
  <si>
    <t>약한 셀 조기 발견, 단락·유로 막힘, 체결 불균일</t>
  </si>
  <si>
    <t>CVM(CAN/Modbus)</t>
  </si>
  <si>
    <t>기액분리기</t>
  </si>
  <si>
    <t>H2/O2 분리기 수위와 수위차</t>
  </si>
  <si>
    <t>% / mm</t>
  </si>
  <si>
    <t>1 s</t>
  </si>
  <si>
    <t>균압 제어 품질, 액적 동반, 인터록 여유</t>
  </si>
  <si>
    <t>레벨전송기→PLC</t>
  </si>
  <si>
    <t>AWE 전해액 루프</t>
  </si>
  <si>
    <t>스택별 전해액 유량·순환모드</t>
  </si>
  <si>
    <t>m³/h / enum</t>
  </si>
  <si>
    <t>HTO 거동 해석, 유량 분배 불균일, 펌프·필터 상태</t>
  </si>
  <si>
    <t>PLC</t>
  </si>
  <si>
    <t>냉각</t>
  </si>
  <si>
    <t>스택 전단(분리기측)·후단 온도, 냉각밸브 개도</t>
  </si>
  <si>
    <t>°C / %</t>
  </si>
  <si>
    <t>온도제어 성능(진동·편차), 열교환 UA, 효율 손실 원인</t>
  </si>
  <si>
    <t>RTD→PLC</t>
  </si>
  <si>
    <t>가스 분석</t>
  </si>
  <si>
    <t>HTO·OTH</t>
  </si>
  <si>
    <t>%vol</t>
  </si>
  <si>
    <t>안전여유, 최소 안전부하, 막/격막 열화</t>
  </si>
  <si>
    <t>열전도식/상자성 분석기 4-20 mA</t>
  </si>
  <si>
    <t>정제</t>
  </si>
  <si>
    <t>Deoxo 입·출구 온도, 제품 O2, 이슬점</t>
  </si>
  <si>
    <t>°C / ppm / °C</t>
  </si>
  <si>
    <t>10 s</t>
  </si>
  <si>
    <t>촉매 활성, 분석기 교차검증, 제품 품질(ISO 14687)</t>
  </si>
  <si>
    <t>정제기 PLC·미량분석기</t>
  </si>
  <si>
    <t>순수 제조</t>
  </si>
  <si>
    <t>RO·EDI·루프 이온교환기 전후 전도도</t>
  </si>
  <si>
    <t>µS/cm</t>
  </si>
  <si>
    <t>오염 선행지표, 수지 교체 시점</t>
  </si>
  <si>
    <t>전도도계(25 °C 보상)</t>
  </si>
  <si>
    <t>시스템</t>
  </si>
  <si>
    <t>운전 상태·전환 사유·트립 코드</t>
  </si>
  <si>
    <t>이벤트 + 1 s</t>
  </si>
  <si>
    <t>모든 지표의 조건 필터, 운전 패턴 코칭 근거</t>
  </si>
  <si>
    <t>PLC 알람/이벤트 로그</t>
  </si>
  <si>
    <t>수소 유량(건조기 전·후)·출구 압력</t>
  </si>
  <si>
    <t>kg/h / bar(g)</t>
  </si>
  <si>
    <t>패러데이 효율, 재생 손실, 누설</t>
  </si>
  <si>
    <t>코리올리/열식 유량계</t>
  </si>
  <si>
    <t>사이트 EMS</t>
  </si>
  <si>
    <t>PV 실측·단기예측(15분~24시간)과 전해조 설정값</t>
  </si>
  <si>
    <t>1 min(예측 15 min 해상도)</t>
  </si>
  <si>
    <t>스케줄링 최적화 입력, PV→수소 활용률, 대기/정지 결정 평가</t>
  </si>
  <si>
    <t>인버터·기상예측 API·EMS</t>
  </si>
  <si>
    <t>전력원별 전력량(PV 직접·ESS·계통)</t>
  </si>
  <si>
    <t>15 min</t>
  </si>
  <si>
    <t>청정수소 인증 배출량 산정, 계통 사용 비용</t>
  </si>
  <si>
    <t>계량기·EMS</t>
  </si>
  <si>
    <t>점호각(사이리스터) 또는 PWM 듀티</t>
  </si>
  <si>
    <t>deg / %</t>
  </si>
  <si>
    <t>저부하 역률 저하 원인 확인, 정류기 제어 이상과 스택 문제 분리</t>
  </si>
  <si>
    <t>정류기 제어기 Modbus TCP/Profinet</t>
  </si>
  <si>
    <t>정지 후 OCV 감쇠·잔류전압 곡선</t>
  </si>
  <si>
    <t>정지 후 30분간 1 s</t>
  </si>
  <si>
    <t>crossover 증가(추정 기법), AWE 역전류 노출 정도</t>
  </si>
  <si>
    <t>PLC/CVM</t>
  </si>
  <si>
    <t>보호전류 인가 여부·크기</t>
  </si>
  <si>
    <t>상태변화 시</t>
  </si>
  <si>
    <t>대기·정지 중 전극 보호 운용 여부(열화 귀속 변수)</t>
  </si>
  <si>
    <t>배압·보충수·드레인 밸브 개도</t>
  </si>
  <si>
    <t>%</t>
  </si>
  <si>
    <t>제어루프 헌팅·밸브 스틱 진단, 수위계 오류 교차검증</t>
  </si>
  <si>
    <t>PLC AO/AI</t>
  </si>
  <si>
    <t>분석기 상태·영점/스팬 교정 결과</t>
  </si>
  <si>
    <t>enum / %</t>
  </si>
  <si>
    <t>안전 데이터 신뢰도 표시, 드리프트 보정</t>
  </si>
  <si>
    <t>분석기 진단·CMMS</t>
  </si>
  <si>
    <t>TSA 탑 전환·재생온도·히터 kWh</t>
  </si>
  <si>
    <t>enum / °C / kWh</t>
  </si>
  <si>
    <t>사이클 단위</t>
  </si>
  <si>
    <t>흡착제 열화, 재생 손실</t>
  </si>
  <si>
    <t>정제기 PLC</t>
  </si>
  <si>
    <t>질소 퍼지</t>
  </si>
  <si>
    <t>질소 유량·누적량·퍼지 소요시간</t>
  </si>
  <si>
    <t>Nm³/h / Nm³ / min</t>
  </si>
  <si>
    <t>1 s(퍼지 중)</t>
  </si>
  <si>
    <t>퍼지 비용·수소 손실, 밸브 누설, 기동 준비시간</t>
  </si>
  <si>
    <t>질소 유량계→PLC</t>
  </si>
  <si>
    <t>BoP 부하별 전력(펌프·칠러·히터·건조기)</t>
  </si>
  <si>
    <t>스택 SEC와 시스템 SEC 차이의 원인 분해</t>
  </si>
  <si>
    <t>서브미터/VFD Modbus</t>
  </si>
  <si>
    <t>DC 리플(크기·주파수)</t>
  </si>
  <si>
    <t>% / Hz</t>
  </si>
  <si>
    <t>1 min 요약(고속 샘플 온보드 계산)</t>
  </si>
  <si>
    <t>리플에 의한 PEM 옴 저항 가속 여부</t>
  </si>
  <si>
    <t>정류기 진단값 또는 고속 DAQ</t>
  </si>
  <si>
    <t>압축기 흡입측</t>
  </si>
  <si>
    <t>흡입 수소 중 산소 농도</t>
  </si>
  <si>
    <t>vol% (ppm)</t>
  </si>
  <si>
    <t>1~10 s, 경보는 즉시</t>
  </si>
  <si>
    <t>수전해 교차투과·저부하 운전에 따른 산소 혼입. 2 vol% 이상은 압축 금지(KGS FU671), 강릉 사고의 직접 원인 지표</t>
  </si>
  <si>
    <t>미량산소 분석기(전기화학/지르코니아) → PLC Modbus/4-20 mA</t>
  </si>
  <si>
    <t>압축기</t>
  </si>
  <si>
    <t>흡입·단간·최종 토출 압력</t>
  </si>
  <si>
    <t>bar(a)</t>
  </si>
  <si>
    <t>단별 압력비, 밸브 누설 위치, 비전력 정규화 bin</t>
  </si>
  <si>
    <t>압력전송기 → 압축기 PLC OPC UA/Modbus TCP</t>
  </si>
  <si>
    <t>단별 흡입·토출 가스온도</t>
  </si>
  <si>
    <t>1~10 s</t>
  </si>
  <si>
    <t>폴리트로픽 기대값 대비 잔차로 밸브 누설·냉각 불량 구분</t>
  </si>
  <si>
    <t>RTD/열전대 → PLC</t>
  </si>
  <si>
    <t>모터 유효전력·적산전력량</t>
  </si>
  <si>
    <t>kW, kWh</t>
  </si>
  <si>
    <t>1 s / 1 min 적산</t>
  </si>
  <si>
    <t>비전력(kWh/kg) 추세 = 압축기 건강의 종합지표, 전력비 산정</t>
  </si>
  <si>
    <t>전력량계/인버터 Modbus</t>
  </si>
  <si>
    <t>다이어프램 압축기</t>
  </si>
  <si>
    <t>누설검지 포트 압력/스위치</t>
  </si>
  <si>
    <t>bar(g)/bool</t>
  </si>
  <si>
    <t>이벤트(ms)</t>
  </si>
  <si>
    <t>다이어프램 파손 확정. NREL: 압축기 누설검지 회로 실시간 감시로 정지시간 회피 가능</t>
  </si>
  <si>
    <t>압력스위치 → 안전 PLC</t>
  </si>
  <si>
    <t>운전상태·트립코드·기동횟수·운전시간</t>
  </si>
  <si>
    <t>enum, count, h</t>
  </si>
  <si>
    <t>런 이벤트 분할, 쇼트사이클, 다이어프램·패킹 교체 주기 계산</t>
  </si>
  <si>
    <t>압축기 PLC</t>
  </si>
  <si>
    <t>저장뱅크</t>
  </si>
  <si>
    <t>용기(뱅크)별 압력</t>
  </si>
  <si>
    <t>1~10 s (홀드 구간 1 min 이상 가능)</t>
  </si>
  <si>
    <t>Z보정 재고·누설률·압력 사이클 피로 소모율</t>
  </si>
  <si>
    <t>고정밀 압력전송기(0.05~0.1% FS 권장) → PLC</t>
  </si>
  <si>
    <t>내부 가스온도·용기 표면온도</t>
  </si>
  <si>
    <t>Z·온도 보정 질량의 필수 입력. 1 K 오차는 약 0.28% 질량 오차(450 bar 계산)</t>
  </si>
  <si>
    <t>삽입형 온도센서, 표면 RTD</t>
  </si>
  <si>
    <t>외기온도·일사량</t>
  </si>
  <si>
    <t>°C, W/m²</t>
  </si>
  <si>
    <t>1 min</t>
  </si>
  <si>
    <t>표면·내부 온도 불일치 구간 마스킹, 여름철 온도상승방지 필요성</t>
  </si>
  <si>
    <t>현장 기상센서(태양광 사이트 공용)</t>
  </si>
  <si>
    <t>저장뱅크/밸브</t>
  </si>
  <si>
    <t>인입·인출·뱅크선택 밸브 명령과 리밋 상태</t>
  </si>
  <si>
    <t>무유동 판정, 캐스케이드 순서, 밸브 작동시간 열화</t>
  </si>
  <si>
    <t>리밋스위치 → PLC/SIS</t>
  </si>
  <si>
    <t>레귤레이터</t>
  </si>
  <si>
    <t>레귤레이터 입·출구 압력</t>
  </si>
  <si>
    <t>bar(g)</t>
  </si>
  <si>
    <t>락업 크리프(시트 누설), 드룹·헌팅</t>
  </si>
  <si>
    <t>누출검지기</t>
  </si>
  <si>
    <t>검지기별 농도 원시값(4-20 mA 포함)</t>
  </si>
  <si>
    <t>ppm / mA</t>
  </si>
  <si>
    <t>1 s (분석용 1 min 통계: min/median/max)</t>
  </si>
  <si>
    <t>경보 미만 저농도 에피소드, 배경 드리프트·고착 판정</t>
  </si>
  <si>
    <t>가스 수신반/안전 PLC Modbus</t>
  </si>
  <si>
    <t>검지기 고장·보수·교정 모드 상태</t>
  </si>
  <si>
    <t>안전감시 공백 시간 산출, 교정 중 값 분석 제외</t>
  </si>
  <si>
    <t>가스 수신반</t>
  </si>
  <si>
    <t>화염감지기</t>
  </si>
  <si>
    <t>화염 경보·고장·광학창 자기진단</t>
  </si>
  <si>
    <t>ESD 원인 확정, 감지 공백</t>
  </si>
  <si>
    <t>화재수신반/안전 PLC</t>
  </si>
  <si>
    <t>ESD/SIS</t>
  </si>
  <si>
    <t>ESD first-out 원인·실행결과·리셋</t>
  </si>
  <si>
    <t>enum + ms 타임스탬프</t>
  </si>
  <si>
    <t>이벤트(SOE)</t>
  </si>
  <si>
    <t>사고 재구성, 반복 트립 근본원인, 법정 보고</t>
  </si>
  <si>
    <t>안전 PLC SOE 로그</t>
  </si>
  <si>
    <t>바이패스(오버라이드) 상태·시작/종료·승인자</t>
  </si>
  <si>
    <t>보호기능 무력화 기간 — 최우선 감시 대상</t>
  </si>
  <si>
    <t>안전 PLC/HMI 로그</t>
  </si>
  <si>
    <t>환기·방폭</t>
  </si>
  <si>
    <t>환기팬 운전·풍량스위치·실내 농도</t>
  </si>
  <si>
    <t>enum, ppm</t>
  </si>
  <si>
    <t>이벤트 + 1 min</t>
  </si>
  <si>
    <t>환기 상실 인터록 조건, 실내 배경 상승</t>
  </si>
  <si>
    <t>흡입 수소 이슬점</t>
  </si>
  <si>
    <t>°C(td)</t>
  </si>
  <si>
    <t>10~60 s</t>
  </si>
  <si>
    <t>수분 이월 → 응축·부식·수소취성 가속, 건조기 성능</t>
  </si>
  <si>
    <t>이슬점계 → PLC</t>
  </si>
  <si>
    <t>토출 질량유량</t>
  </si>
  <si>
    <t>kg/h</t>
  </si>
  <si>
    <t>체적효율·비전력 분모, 물질수지</t>
  </si>
  <si>
    <t>코리올리 유량계(없으면 재고 변화로 추정)</t>
  </si>
  <si>
    <t>사이클별 오일 최대·최소압</t>
  </si>
  <si>
    <t>엣지 1~5 kHz → 1 min 통계</t>
  </si>
  <si>
    <t>다이어프램·오일보충·리밋밸브 이상의 선행 신호</t>
  </si>
  <si>
    <t>고속 오일압 센서 + 엣지 게이트웨이</t>
  </si>
  <si>
    <t>진동 속도 RMS·가속도 스펙트럼 특징</t>
  </si>
  <si>
    <t>mm/s, g</t>
  </si>
  <si>
    <t>엣지 kHz → 1 min RMS·밴드에너지</t>
  </si>
  <si>
    <t>베어링·크로스헤드·체결 이완, 맥동. ISO 20816-8 zone 판정</t>
  </si>
  <si>
    <t>진동 트랜스미터/무선 진동센서</t>
  </si>
  <si>
    <t>과압안전장치</t>
  </si>
  <si>
    <t>PSV 작동·파열판 파열 신호, 방출관 온도·수소농도</t>
  </si>
  <si>
    <t>bool, °C, ppm</t>
  </si>
  <si>
    <t>이벤트 / 10 s</t>
  </si>
  <si>
    <t>분출 이벤트 확정, 시머링(미세 누설), 방출관 착화</t>
  </si>
  <si>
    <t>리밋/파열 검출 와이어, 방출관 RTD·검지기</t>
  </si>
  <si>
    <t>밸브커버 온도 또는 음향방출(AE) 특징</t>
  </si>
  <si>
    <t>°C / dB·RMS</t>
  </si>
  <si>
    <t>10 s / 엣지 분석 후 1 min</t>
  </si>
  <si>
    <t>밸브별 누설 위치 특정(동일 단 밸브 간 편차), AE 기반 자동 판정</t>
  </si>
  <si>
    <t>표면 RTD, AE 센서 + 엣지</t>
  </si>
  <si>
    <t>계장공기</t>
  </si>
  <si>
    <t>계장공기 압력</t>
  </si>
  <si>
    <t>차단밸브 작동지연 원인 분리</t>
  </si>
  <si>
    <t>스택/CVM</t>
  </si>
  <si>
    <t>셀별 전압 배열(원시)</t>
  </si>
  <si>
    <t>정상 운전 10 s 스냅샷, 기동·정지·트립·부하스텝 전후 ±5분은 100 ms~1 s 버스트</t>
  </si>
  <si>
    <t>이상 셀(핀홀·촉매손실·결핍), 말단셀 열관리, 퍼지 효과를 보여주며 RUL·이상탐지 모델의 핵심 입력이다.</t>
  </si>
  <si>
    <t>CVM → CAN/Modbus → FCU → 엣지 게이트웨이</t>
  </si>
  <si>
    <t>스택 전압·전류</t>
  </si>
  <si>
    <t>1 s(과도 구간 100 ms)</t>
  </si>
  <si>
    <t>V@j_ref, 온라인 분극곡선 적합(활성화·옴·물질전달 파라미터), 램프율을 계산한다.</t>
  </si>
  <si>
    <t>DC/DC 컨버터 계측 / FCU</t>
  </si>
  <si>
    <t>기동 시 OCV 셀전압(수소 충진 후 안정 구간)</t>
  </si>
  <si>
    <t>기동 이벤트마다 100 ms~1 s</t>
  </si>
  <si>
    <t>수소 크로스오버·핀홀의 가장 이른 신호다.</t>
  </si>
  <si>
    <t>CVM 버스트</t>
  </si>
  <si>
    <t>애노드 계통</t>
  </si>
  <si>
    <t>애노드 입구·출구 압력과 애노드-캐소드 차압</t>
  </si>
  <si>
    <t>kPa(a), kPa</t>
  </si>
  <si>
    <t>1 s(퍼지 전후 100 ms)</t>
  </si>
  <si>
    <t>공급압 제어 품질, 퍼지 효과, 막 기계응력, 정지 시 누설을 보여준다.</t>
  </si>
  <si>
    <t>FCU 압력센서</t>
  </si>
  <si>
    <t>수소 공급 질량유량</t>
  </si>
  <si>
    <t>1 s, 15분 적산</t>
  </si>
  <si>
    <t>λ_H2, 수소 이용률, 소비원단위(kg/MWh), HPS 연료비 증빙에 쓴다.</t>
  </si>
  <si>
    <t>열식/코리올리 질량유량계</t>
  </si>
  <si>
    <t>퍼지·드레인</t>
  </si>
  <si>
    <t>퍼지·드레인 밸브 명령·피드백·개방시간</t>
  </si>
  <si>
    <t>enum, ms</t>
  </si>
  <si>
    <t>이벤트(ms 타임스탬프)</t>
  </si>
  <si>
    <t>퍼지 전략 분석, 밸브 고착·누설, 질소 크로스오버 추세에 쓴다.</t>
  </si>
  <si>
    <t>FCU 이벤트 로그</t>
  </si>
  <si>
    <t>공기 계통</t>
  </si>
  <si>
    <t>공기 질량유량과 λ_air(지령·실측)</t>
  </si>
  <si>
    <t>kg/h, -</t>
  </si>
  <si>
    <t>1 s(과도 100 ms)</t>
  </si>
  <si>
    <t>산소 결핍, 공기 선행 응답성, 저부하 과잉 λ를 보여준다.</t>
  </si>
  <si>
    <t>FCU 공기 유량계</t>
  </si>
  <si>
    <t>캐소드 입구압·입출구 차압</t>
  </si>
  <si>
    <t>kPa</t>
  </si>
  <si>
    <t>플러딩·유로 막힘을 보여주며 배압 제어 상태를 확인한다.</t>
  </si>
  <si>
    <t>열관리</t>
  </si>
  <si>
    <t>냉각수 입·출구 온도와 ΔT</t>
  </si>
  <si>
    <t>스택 온도 균일도, 펌프·라디에이터 성능, 발열 추정에 쓴다.</t>
  </si>
  <si>
    <t>FCU 온도센서</t>
  </si>
  <si>
    <t>냉각수 유량·펌프 회전수·전력</t>
  </si>
  <si>
    <t>L/min, rpm, W</t>
  </si>
  <si>
    <t>펌프 마모·에어 포켓·스트레이너 막힘을 보여준다.</t>
  </si>
  <si>
    <t>FCU / 펌프 드라이브</t>
  </si>
  <si>
    <t>냉각수 전기전도도·수위</t>
  </si>
  <si>
    <t>µS/cm, %</t>
  </si>
  <si>
    <t>DI 필터 소진 예측과 절연·부식 리스크를 보여준다.</t>
  </si>
  <si>
    <t>전도도계·레벨센서</t>
  </si>
  <si>
    <t>전력변환</t>
  </si>
  <si>
    <t>DC/DC 전류 지령·실측·리플</t>
  </si>
  <si>
    <t>A, %</t>
  </si>
  <si>
    <t>100 ms~1 s(리플은 엣지 요약)</t>
  </si>
  <si>
    <t>램프율 준수, 리플 스트레스, 컨버터 열화를 보여준다.</t>
  </si>
  <si>
    <t>DC/DC 컨트롤러</t>
  </si>
  <si>
    <t>인버터 AC 출력·무효전력·역률·효율·방열판 온도</t>
  </si>
  <si>
    <t>kW, kvar, -, %, °C</t>
  </si>
  <si>
    <t>1 s / 10 s</t>
  </si>
  <si>
    <t>순출력, 전력변환 손실, 파워모듈 열화를 보여준다.</t>
  </si>
  <si>
    <t>인버터 Modbus</t>
  </si>
  <si>
    <t>계통연계</t>
  </si>
  <si>
    <t>계통 전압·주파수와 트립·LVRT 이벤트 파형</t>
  </si>
  <si>
    <t>V, Hz, 파형</t>
  </si>
  <si>
    <t>1 s 추세 + 이벤트 파형(ms, 전후 수 초)</t>
  </si>
  <si>
    <t>HPS 기술요건 이행을 확인하고, 트립이 계통 원인인지 설비 원인인지 분류한다.</t>
  </si>
  <si>
    <t>보호계전기 / 전력품질계</t>
  </si>
  <si>
    <t>FCU</t>
  </si>
  <si>
    <t>운전 상태·서브상태·알람·트립 코드</t>
  </si>
  <si>
    <t>모드 분할, 강제정지 분류, 동시발생 분석, 기동 실패 원인 파레토에 쓴다.</t>
  </si>
  <si>
    <t>FCU/시장</t>
  </si>
  <si>
    <t>출력 지령(원격·급전)과 실제 출력</t>
  </si>
  <si>
    <t>지령 추종성, 디레이트 손실, 계약 이행 추적에 쓴다.</t>
  </si>
  <si>
    <t>SCADA / KPX 급전 인터페이스</t>
  </si>
  <si>
    <t>누적 운전시간·기동정지 횟수·저부하/고전위 체류시간 카운터</t>
  </si>
  <si>
    <t>h, 회</t>
  </si>
  <si>
    <t>이벤트 / 1 h</t>
  </si>
  <si>
    <t>운전 스트레스 지수와 열화 인지형 운전전략의 입력이다.</t>
  </si>
  <si>
    <t>FCU 카운터 또는 상태 이벤트로 산출</t>
  </si>
  <si>
    <t>제어 파라미터 세트·펌웨어 버전</t>
  </si>
  <si>
    <t>text/hash</t>
  </si>
  <si>
    <t>변경 이벤트</t>
  </si>
  <si>
    <t>제어 변경에 따른 계단 변화를 열화와 구분하고 기준선을 재설정한다.</t>
  </si>
  <si>
    <t>FCU / 제조사 변경 통지</t>
  </si>
  <si>
    <t>수소 계통 연계</t>
  </si>
  <si>
    <t>수소 저장 재고(Z보정 kg)와 수전해 생산량</t>
  </si>
  <si>
    <t>kg, kg/h</t>
  </si>
  <si>
    <t>연료전지 운전계획의 연료 제약, 연계 디스패치, 물질수지에 쓴다.</t>
  </si>
  <si>
    <t>저장뱅크 P·T 계산 / 수전해 PLC</t>
  </si>
  <si>
    <t>거래용 전력량계 송전량</t>
  </si>
  <si>
    <t>15 min / 1 h</t>
  </si>
  <si>
    <t>KPX 정산과 계약물량 대비 이행률을 추적한다.</t>
  </si>
  <si>
    <t>거래용 계량기(원격검침)</t>
  </si>
  <si>
    <t>안전</t>
  </si>
  <si>
    <t>외함 수소농도·환기 풍량</t>
  </si>
  <si>
    <t>ppm, m³/h</t>
  </si>
  <si>
    <t>안전 인터록 상태와 스택 외부 누설의 배경 추세를 보여준다.</t>
  </si>
  <si>
    <t>가스검지기 / SIS</t>
  </si>
  <si>
    <t>연료처리장치(개질형 사이트)</t>
  </si>
  <si>
    <t>개질기 온도·S/C비·버너 온도·배기 O2, 탈황기 누적 부하</t>
  </si>
  <si>
    <t>°C, -, %, %</t>
  </si>
  <si>
    <t>1~10 s / 일 적산</t>
  </si>
  <si>
    <t>탈황제 파과 예측, 탄소석출·연료결핍 리스크를 보여준다(순수소 PEMFC 사이트는 해당 없음).</t>
  </si>
  <si>
    <t>FPS PLC / 가스 성분 정보</t>
  </si>
  <si>
    <t>SOFC 핫박스(해당 사이트)</t>
  </si>
  <si>
    <t>모듈별 온도 분포·연료이용률·셀그룹 전압</t>
  </si>
  <si>
    <t>°C, %, V</t>
  </si>
  <si>
    <t>국부 과열, 연료결핍, Ni 재산화 리스크, 모듈 교체 우선순위를 보여준다.</t>
  </si>
  <si>
    <t>제조사 원격감시 API(계약으로 확보)</t>
  </si>
  <si>
    <t>고주파저항(HFR)</t>
  </si>
  <si>
    <t>mΩ·cm²</t>
  </si>
  <si>
    <t>10 s~1 min</t>
  </si>
  <si>
    <t>막 수분(드라잉)과 접촉저항 증가를 구분한다. 플러딩/드라잉 진단의 필수 보조신호다.</t>
  </si>
  <si>
    <t>DC/DC 리플 기반 측정 또는 임피던스 모듈</t>
  </si>
  <si>
    <t>정기 분극곡선(I-V 스윕)</t>
  </si>
  <si>
    <t>V vs A/cm²</t>
  </si>
  <si>
    <t>월 1회 또는 정비·회복운전 전후</t>
  </si>
  <si>
    <t>손실 성분별 열화 추세(Tafel 기울기, 옴저항, 한계전류)를 보여주고 모델을 보정한다.</t>
  </si>
  <si>
    <t>제조사 시험 모드 / 수동 시험 기록 업로드</t>
  </si>
  <si>
    <t>재순환 블로워 회전수·전류 / 이젝터 구동압</t>
  </si>
  <si>
    <t>rpm, A, kPa</t>
  </si>
  <si>
    <t>재순환 성능 저하(베어링·결빙·노즐 막힘)를 보여준다.</t>
  </si>
  <si>
    <t>FCU / 블로워 드라이브</t>
  </si>
  <si>
    <t>블로워 회전수·소비전력</t>
  </si>
  <si>
    <t>rpm, kW</t>
  </si>
  <si>
    <t>기생부하와 블로워 마모(친화법칙 잔차)를 보여준다.</t>
  </si>
  <si>
    <t>블로워 인버터</t>
  </si>
  <si>
    <t>가습기</t>
  </si>
  <si>
    <t>캐소드 입구·출구 이슬점(상대습도)</t>
  </si>
  <si>
    <t>°C(%RH)</t>
  </si>
  <si>
    <t>가습기 성능, 드라잉 원인, 계절별 가습 코칭에 쓴다.</t>
  </si>
  <si>
    <t>이슬점·습도센서</t>
  </si>
  <si>
    <t>공기필터 차압</t>
  </si>
  <si>
    <t>Pa</t>
  </si>
  <si>
    <t>필터 막힘을 보여주고 블로워 원인과 구분한다.</t>
  </si>
  <si>
    <t>차압계</t>
  </si>
  <si>
    <t>환경</t>
  </si>
  <si>
    <t>흡입 공기온도·대기압·인근 대기질(SO2·NO2·PM)</t>
  </si>
  <si>
    <t>°C, hPa, ppb, µg/m³</t>
  </si>
  <si>
    <t>1 min(현장) / 1 h(에어코리아)</t>
  </si>
  <si>
    <t>공기 밀도 보정과 공기측 피독 원인 분리에 쓴다.</t>
  </si>
  <si>
    <t>현장 센서 / 에어코리아 API</t>
  </si>
  <si>
    <t>3방향밸브 개도·라디에이터 팬 지령</t>
  </si>
  <si>
    <t>방열 여유, 여름철 디레이트 원인, 밸브 고착을 보여준다.</t>
  </si>
  <si>
    <t>히터 전력·동결방지 운전 상태</t>
  </si>
  <si>
    <t>kW, enum</t>
  </si>
  <si>
    <t>10 s / 이벤트</t>
  </si>
  <si>
    <t>동결 리스크 관리, 기생전력 비용, 기동 준비 상태를 보여준다.</t>
  </si>
  <si>
    <t>절연저항</t>
  </si>
  <si>
    <t>냉각수 전도도·결로와 연계한 지락 리스크를 보여준다.</t>
  </si>
  <si>
    <t>절연감시장치(IMD)</t>
  </si>
  <si>
    <t>수소 품질(온라인 수분·O2, 정기 CO·황 분석)</t>
  </si>
  <si>
    <t>µmol/mol</t>
  </si>
  <si>
    <t>온라인 1 min / 분석 분기</t>
  </si>
  <si>
    <t>피독 원인 분리와 청정수소 인증 증빙에 쓴다.</t>
  </si>
  <si>
    <t>온라인 분석기 / 시료 분석 성적서</t>
  </si>
  <si>
    <t>CHP</t>
  </si>
  <si>
    <t>열회수 공급·환수 온도, 온수 유량, 회수 열량</t>
  </si>
  <si>
    <t>°C, m³/h, kWh</t>
  </si>
  <si>
    <t>10 s / 15분 적산</t>
  </si>
  <si>
    <t>CHP 효율, 라디에이터 방열 손실, HPS 에너지효율성 증빙에 쓴다.</t>
  </si>
  <si>
    <t>열량계 / PLC</t>
  </si>
  <si>
    <t>PAFC 스택(해당 사이트)</t>
  </si>
  <si>
    <t>스택 온도 분포·냉각루프 수질·옴저항 추정</t>
  </si>
  <si>
    <t>°C, µS/cm, mΩ</t>
  </si>
  <si>
    <t>10 s / 1 min</t>
  </si>
  <si>
    <t>인산 손실 경향과 열사이클 스트레스, 스택 교체 계획에 쓴다.</t>
  </si>
  <si>
    <t>FCU / 제조사 원격감시</t>
  </si>
  <si>
    <t>임피던스 스펙트럼(EIS) 또는 AC 리플 응답</t>
  </si>
  <si>
    <t>Ω, 위상(°)</t>
  </si>
  <si>
    <t>일 1회~주 1회 이벤트(수 분), 원시 kHz는 엣지에서 등가회로 파라미터로 요약</t>
  </si>
  <si>
    <t>활성화·옴·물질전달 저항을 분리하고 플러딩·피독·결핍을 판별한다(HEALTH-CODE·INSIGHT 방식).</t>
  </si>
  <si>
    <t>DC/DC 내장 EIS 보드 / 휴대형 임피던스 분석기</t>
  </si>
  <si>
    <t>캐소드 배기 CO2 농도(선택)</t>
  </si>
  <si>
    <t>기동·정지 이벤트 1 s</t>
  </si>
  <si>
    <t>기동·정지 중 탄소 지지체 부식량을 직접 추정한다(고급·연구 사이트).</t>
  </si>
  <si>
    <t>NDIR CO2 센서</t>
  </si>
  <si>
    <t>기액분리기 수위·드레인 횟수</t>
  </si>
  <si>
    <t>%/스위치, 회</t>
  </si>
  <si>
    <t>1 s / 이벤트</t>
  </si>
  <si>
    <t>드레인 성능과 결빙, 애노드 플러딩 원인을 보여준다.</t>
  </si>
  <si>
    <t>레벨스위치 / FCU</t>
  </si>
  <si>
    <t>재순환 루프 수소 농도(측정 또는 모델 추정)</t>
  </si>
  <si>
    <t>vol%</t>
  </si>
  <si>
    <t>질소 누적도를 보여주며 적응형 퍼지 최적화에 쓴다.</t>
  </si>
  <si>
    <t>열전도식 수소센서 / 물질수지 모델</t>
  </si>
  <si>
    <t>부산물 산소 계통</t>
  </si>
  <si>
    <t>제품 산소 순도</t>
  </si>
  <si>
    <t>300초</t>
  </si>
  <si>
    <t>AT-402. 건조 기준 산소 농도. 국내법상 산소 제조자는 1일 1회 이상 품질검사로 99.5% 이상을 확인하고 기록해야 한다.</t>
  </si>
  <si>
    <t>P&amp;ID FCND-GP-PID-002 REV.2 · 계장 태그 AT-402 · 조사 research-oxygen</t>
  </si>
  <si>
    <t>산소 출하 설비</t>
  </si>
  <si>
    <t>산소 질량유량</t>
  </si>
  <si>
    <t>FT-401/402. 생산·출하·방출 3지점 유량을 qualifier로 구분(기존 separator.level qualifier 패턴과 동일). 정격 생산 357 kg/h.</t>
  </si>
  <si>
    <t>P&amp;ID FCND-GP-PID-002 REV.2 · 계장 태그 FT-402 · 조사 research-oxygen</t>
  </si>
  <si>
    <t>누적 산소 출하량</t>
  </si>
  <si>
    <t>60초</t>
  </si>
  <si>
    <t>누적 출하량 카운터. 매출 계산과 계량 편차 탐지의 기준값.</t>
  </si>
  <si>
    <t>산소 출하 헤더 압력</t>
  </si>
  <si>
    <t>bar</t>
  </si>
  <si>
    <t>출하 헤더·트레일러 충전 압력. 충전 완료 판정과 잔압(heel) 계상에 필요하다.</t>
  </si>
  <si>
    <t>P&amp;ID FCND-GP-PID-002 REV.2 · 계장 태그 PT-402 · 조사 research-oxygen</t>
  </si>
  <si>
    <t>대기 산소 농도</t>
  </si>
  <si>
    <t>5초</t>
  </si>
  <si>
    <t>AT-403. 대기 산소 농도. 23.5% 초과는 산소 농축 대기(화재 위험), 18% 미만은 질식 위험. gas.detector.ppm(수소)과 대칭 구조.</t>
  </si>
  <si>
    <t>P&amp;ID FCND-GP-PID-002 REV.2 · 계장 태그 AT-403 · 조사 research-oxygen</t>
  </si>
  <si>
    <t>제품 산소 이슬점</t>
  </si>
  <si>
    <t>MT-401. 수분은 산소 순도의 최대 변수이며 의료용 규격은 H₂O ≤ 67 ppm이다. 건조기 파과 조기 탐지에도 쓴다.</t>
  </si>
  <si>
    <t>P&amp;ID FCND-GP-PID-002 REV.2 · 계장 태그 MT-401 · 조사 research-oxygen</t>
  </si>
  <si>
    <t>폐열회수 열교환기 HX-301</t>
  </si>
  <si>
    <t>열교환기 1차측 입구 온도</t>
  </si>
  <si>
    <t>HX-301 1차측 입구. LMTD·접근온도·Q_hot의 기준점. FC 스택 출구 온도 상한 감시와 겸한다.</t>
  </si>
  <si>
    <t>P&amp;ID FCND-GP-PID-002 REV.2 · 계장 태그 TT-301 · 조사 research-heat</t>
  </si>
  <si>
    <t>열교환기 1차측 출구 온도</t>
  </si>
  <si>
    <t>1차측 출구(환수). Q_hot = ṁ_hot·cp·(T_hot_in − T_hot_out) 산출.</t>
  </si>
  <si>
    <t>P&amp;ID FCND-GP-PID-002 REV.2 · 계장 태그 TT-302 · 조사 research-heat</t>
  </si>
  <si>
    <t>열교환기 2차측 입구 온도</t>
  </si>
  <si>
    <t>2차측(정제수) 입구 = DI 물탱크 출구. Q_cold와 접근온도 계산에 필수인데 도면에 계기가 없다. 이 값의 계절 변동이 절감량 변동의 주원인이다.</t>
  </si>
  <si>
    <t>P&amp;ID FCND-GP-PID-002 REV.2 · 계장 태그 TT-304 · 조사 research-heat</t>
  </si>
  <si>
    <t>열교환기 2차측 출구 온도</t>
  </si>
  <si>
    <t>2차측 출구 = 수전해 급수 온도. 수전해 스택 입구 상한(Nafion 막 제약, 통상 80 °C) 초과 감시를 겸한다.</t>
  </si>
  <si>
    <t>P&amp;ID FCND-GP-PID-002 REV.2 · 계장 태그 TT-303 · 조사 research-heat</t>
  </si>
  <si>
    <t>열교환기 1차측 유량</t>
  </si>
  <si>
    <t>m³/h</t>
  </si>
  <si>
    <t>Q_hot 산출. 양측 열수지 교차검증으로 센서 드리프트와 교차누설을 분리하는 유일한 수단.</t>
  </si>
  <si>
    <t>P&amp;ID FCND-GP-PID-002 REV.2 · 계장 태그 FT-302 · 조사 research-heat</t>
  </si>
  <si>
    <t>열교환기 2차측 유량</t>
  </si>
  <si>
    <t>2차측 급수 유량. Q_cold 산출과 차압 정규화의 분모.</t>
  </si>
  <si>
    <t>P&amp;ID FCND-GP-PID-002 REV.2 · 계장 태그 미지정(계약 협의) · 조사 research-heat</t>
  </si>
  <si>
    <t>열교환기 1차측 차압</t>
  </si>
  <si>
    <t>1차측 유로 막힘·스트레이너 막힘. ΔP ∝ 유량^1.7이므로 유량 정규화 후 추세를 본다.</t>
  </si>
  <si>
    <t>P&amp;ID FCND-GP-PID-002 REV.2 · 계장 태그 PDT-301 · 조사 research-heat</t>
  </si>
  <si>
    <t>열교환기 2차측 차압</t>
  </si>
  <si>
    <t>2차측 유로 막힘. 급수량이 0.5 m³/h로 작아 유로가 막히면 수전해 급수 부족으로 바로 이어진다.</t>
  </si>
  <si>
    <t>P&amp;ID FCND-GP-PID-002 REV.2 · 계장 태그 PDT-302 · 조사 research-heat</t>
  </si>
  <si>
    <t>회수 열출력</t>
  </si>
  <si>
    <t>회수 열출력. 도면 350 kWth 대비 실적. 파생값(Q_cold 우선, Q_hot 교차검증).</t>
  </si>
  <si>
    <t>P&amp;ID FCND-GP-PID-002 REV.2 · 계장 태그 FQ-301 · 조사 research-heat</t>
  </si>
  <si>
    <t>누적 회수 열량</t>
  </si>
  <si>
    <t>누적 회수 열량. 절감 금액·HPS 열활용 증빙의 원장. 적산열량계 연산부 출력을 그대로 받는다.</t>
  </si>
  <si>
    <t>순수 제조설비</t>
  </si>
  <si>
    <t>정제수 급수 유량</t>
  </si>
  <si>
    <t>도면 FT-101. 정제수 급수 유량(설계 0.5 m³/h). 물 소비 원단위 KPI의 분자이고, 급수 유량 현저 저하는 KGS AH271 3.3.1.2(1-6)의 비상정지 조건이라 안전 채널이기도 하다.</t>
  </si>
  <si>
    <t>P&amp;ID FCND-GP-PID-002 REV.2 · 계장 태그 FT-101 · 조사 research-water</t>
  </si>
  <si>
    <t>회수수 재순환 유량</t>
  </si>
  <si>
    <t>회수수 재순환 유량(설계 0.3 m³/h). 도면에 계기 태그가 없어 신설 필요. 재순환율 KPI와 기액분리기 드레인 이상 판별의 핵심.</t>
  </si>
  <si>
    <t>P&amp;ID FCND-GP-PID-002 REV.2 · 계장 태그 FT-102 · 조사 research-water</t>
  </si>
  <si>
    <t>누적 급수량</t>
  </si>
  <si>
    <t>급수 누적 적산(카운터). Δ적산/Δ수소질량으로 원단위를 내는 편이 순시유량 적분보다 오차가 작다. 기존 research-electrolyzer.json makeup_water_volume과 같은 개념의 카탈로그 표기.</t>
  </si>
  <si>
    <t>P&amp;ID FCND-GP-PID-002 REV.2 · 계장 태그 FQ-101 · 조사 research-water</t>
  </si>
  <si>
    <t>DI 물탱크</t>
  </si>
  <si>
    <t>물탱크 수위</t>
  </si>
  <si>
    <t>도면 LT-101. 20 m³ 탱크 기준 1 %p ≈ 0.2 m³. 물수지 잔차(누수·과공급) 판별의 재고항이고, 저수위는 수전해 급수 상실로 직결되는 안전 지표. KGS AH271 3.2.3.2는 물 저장설비의 넘침 방지 구조를 요구한다.</t>
  </si>
  <si>
    <t>P&amp;ID FCND-GP-PID-002 REV.2 · 계장 태그 LT-101 · 조사 research-water</t>
  </si>
  <si>
    <t>물탱크 수위 스위치</t>
  </si>
  <si>
    <t>-</t>
  </si>
  <si>
    <t>고·저수위 스위치(디지털). LT의 아날로그 값과 독립된 접점을 별도 채널로 받아야 계측기 고착(flatline)과 실제 수위 이상을 구분할 수 있다.</t>
  </si>
  <si>
    <t>P&amp;ID FCND-GP-PID-002 REV.2 · 계장 태그 LS-101 · 조사 research-water</t>
  </si>
  <si>
    <t>RO 투과유량</t>
  </si>
  <si>
    <t>RO 투과수 유량. 정규화 투과유량(NPF) 산출의 원자료.</t>
  </si>
  <si>
    <t>P&amp;ID FCND-GP-PID-002 REV.2 · 계장 태그 FT-103 · 조사 research-water</t>
  </si>
  <si>
    <t>RO 농축수 유량</t>
  </si>
  <si>
    <t>RO 농축수 유량. 회수율과 농축배수(concentration factor)를 통해 스케일 위험을 계산한다.</t>
  </si>
  <si>
    <t>P&amp;ID FCND-GP-PID-002 REV.2 · 계장 태그 FT-104 · 조사 research-water</t>
  </si>
  <si>
    <t>RO 공급 압력</t>
  </si>
  <si>
    <t>RO 고압펌프 토출 압력. 동해 규격 최소요건 PIT 3점 중 하나. 같은 투과유량에서 공급압이 오르면 막 오염 신호.</t>
  </si>
  <si>
    <t>P&amp;ID FCND-GP-PID-002 REV.2 · 계장 태그 PT-101 · 조사 research-water</t>
  </si>
  <si>
    <t>RO 공급-농축 차압</t>
  </si>
  <si>
    <t>공급–농축수 차압. 정규화 차압이 기준 대비 +10~15 % 오르면 세정 시점.</t>
  </si>
  <si>
    <t>P&amp;ID FCND-GP-PID-002 REV.2 · 계장 태그 PDT-101 · 조사 research-water</t>
  </si>
  <si>
    <t>경도 (as CaCO₃)</t>
  </si>
  <si>
    <t>mg/L</t>
  </si>
  <si>
    <t>86400초</t>
  </si>
  <si>
    <t>as CaCO₃. 연수기 후단 값이 RO 스케일 방어선이다. 동해 규격은 원수 116 → 연수 후단 설계 2(Max &lt;5) mg/L. 온라인 경도계가 없으면 주기적 수기 입력 채널로 둔다.</t>
  </si>
  <si>
    <t>P&amp;ID FCND-GP-PID-002 REV.2 · 계장 태그 AT-101 · 조사 research-water</t>
  </si>
  <si>
    <t>필터 차압</t>
  </si>
  <si>
    <t>전처리 마이크로필터·활성탄 여과기 차압. 폐색을 급수 유량 저하보다 먼저 잡는다.</t>
  </si>
  <si>
    <t>P&amp;ID FCND-GP-PID-002 REV.2 · 계장 태그 PDT-102 · 조사 research-water</t>
  </si>
  <si>
    <t>펌프 소비전력</t>
  </si>
  <si>
    <t>1차측 순환펌프 소비전력. 회수열의 기생손실을 빼야 순 절감량이 나온다. 유량 대비 전력 상승은 임펠러 마모·공동현상 신호.</t>
  </si>
  <si>
    <t>수소 감압밸브 스키드</t>
  </si>
  <si>
    <t>수소 압력 설정값</t>
  </si>
  <si>
    <t>신규 키. 조정 설정압. 원격 조정이 없으면 메타데이터 상수로 등록하되, 현장 재조정 이력을 반드시 기록해야 편차 KPI가 성립한다.</t>
  </si>
  <si>
    <t>P&amp;ID FCND-GP-PID-002 REV.2 · 계장 태그 미지정(계약 협의) · 조사 research-pressure</t>
  </si>
  <si>
    <t>수소 압력 리플(1분 P-P)</t>
  </si>
  <si>
    <t>신규 키. 1분 구간 max−min(피크-피크). 60 s 샘플링으로는 헌팅·채터링(수 Hz)을 원리적으로 볼 수 없으므로 PLC에서 산출해 올려야 한다.</t>
  </si>
  <si>
    <t>방출관 온도</t>
  </si>
  <si>
    <t>신규 키. PSV 시머링·분출 확정. 수소는 상온 교축에서 오히려 온도가 오르므로 방출관 온도 '상승'이 정상 분출 신호다.</t>
  </si>
  <si>
    <t>P&amp;ID FCND-GP-PID-002 REV.2 · 계장 태그 TT-501 · 조사 research-pressure</t>
  </si>
  <si>
    <t>외부 수소 반입 설비</t>
  </si>
  <si>
    <t>수소 하역 질량유량</t>
  </si>
  <si>
    <t>하역 중 순간 질량유량. 하역 소요시간·중단 구간·역류 판별의 1차 신호이며, 적산이 반입량의 1순위 근거다.</t>
  </si>
  <si>
    <t>P&amp;ID FCND-GP-PID-002 REV.2 · 계장 태그 FT-501 · 조사 research-supply</t>
  </si>
  <si>
    <t>누적 수소 반입량</t>
  </si>
  <si>
    <t>누적 반입 적산(counter, delta 집계). 물질수지 원장의 delivered 항 1순위 소스. 기존 h2.mass.total(생산 적산)과 같은 kind/rollup.</t>
  </si>
  <si>
    <t>P&amp;ID FCND-GP-PID-002 REV.2 · 계장 태그 FQ-501 · 조사 research-supply</t>
  </si>
  <si>
    <t>하역 헤더 압력</t>
  </si>
  <si>
    <t>감압 후 사이트 측 헤더 압력. 버퍼 압력에 근접하면 하역 구동력이 사라진다(미하역 잔량 발생).</t>
  </si>
  <si>
    <t>P&amp;ID FCND-GP-PID-002 REV.2 · 계장 태그 PT-502 · 조사 research-supply</t>
  </si>
  <si>
    <t>하역 가스 온도</t>
  </si>
  <si>
    <t>하역 가스 온도. 체적·압력 기반 정산을 쓸 때의 보정 입력이며, Type IV 트레일러 저온 트립 판단에도 쓴다.</t>
  </si>
  <si>
    <t>P&amp;ID FCND-GP-PID-002 REV.2 · 계장 태그 TT-502 · 조사 research-supply</t>
  </si>
  <si>
    <t>하역 상태 코드</t>
  </si>
  <si>
    <t>하역 상태 코드(대기/연결/퍼지/하역중/종료/분리). 하역 구간을 기계적으로 잘라내야 '하역 중 손실'과 '정지 중 누설'을 구분할 수 있다.</t>
  </si>
  <si>
    <t>P&amp;ID FCND-GP-PID-002 REV.2 · 계장 태그 미지정(계약 협의) · 조사 research-supply</t>
  </si>
  <si>
    <t>접지 연속성 양호</t>
  </si>
  <si>
    <t>접지 연속성 양호 여부(bool). 미연결 상태에서 하역이 시작된 이력은 안전 이벤트이자 절차 준수 지표다.</t>
  </si>
  <si>
    <t>트레일러 잔압</t>
  </si>
  <si>
    <t>체류/연결 트레일러 잔압. 하역 종료 판정, 회수율, 반환 잔량(heel) 정산의 근거.</t>
  </si>
  <si>
    <t>P&amp;ID FCND-GP-PID-002 REV.2 · 계장 태그 PT-501 · 조사 research-supply</t>
  </si>
  <si>
    <t>누적 수소 방출량</t>
  </si>
  <si>
    <t>누적 방출량. 지금 원장의 vented_est는 퍼지 횟수 추정뿐이라 하역 벤트가 통째로 잔차에 섞인다.</t>
  </si>
  <si>
    <t>P&amp;ID FCND-GP-PID-002 REV.2 · 계장 태그 FT-502 · 조사 research-supply</t>
  </si>
  <si>
    <t>계측 외에 함께 받아야 하는 데이터</t>
  </si>
  <si>
    <t>명판·설계정보, 정비이력(=AI 학습 라벨), 알람코드, 점검 사진, 설정값 변경, 기상·시장가격, 반입·출하 전표 등.</t>
  </si>
  <si>
    <t>데이터</t>
  </si>
  <si>
    <t>예시</t>
  </si>
  <si>
    <t>왜 필요한가</t>
  </si>
  <si>
    <t>설계·명판 정보(디지털 트윈 기초자료)</t>
  </si>
  <si>
    <t>모듈 데이터시트(Pmax, Voc/Isc/Vmp/Imp, 온도계수 γ·β, 양면율, NMOT, 셀 기술 PERC/TOPCon/HJT, 유리 두께), 인버터 사양(MPPT 전압창, 효율 곡선, 디레이팅 곡선), 스트링 맵(인버터-MPPT-스트링-모듈 위치), 경사·방위·GCR, 단선결선도, 배치도(GIS 좌표/행·열 번호), 케이블 길이·단면적, 준공일</t>
  </si>
  <si>
    <t>기대발전량 모델(pvlib 등)과 피어 그룹 정의에 필요. 드론 IR 결함 좌표를 스트링·인버터 채널에 매핑하는 기준. 셀 기술별로 우선 감시할 열화 모드(PERC는 LeTID·PID, TOPCon/HJT는 UVID, 박판 G/G는 유리 파손)가 달라진다.</t>
  </si>
  <si>
    <t>준공·정기 시험 성적(베이스라인)</t>
  </si>
  <si>
    <t>IEC 62446-1 준공 시험(스트링 Voc/Isc, 절연저항, IV 커브), 모듈 출하 플래시 데이터(모듈별 Pmax), 출하 EL 이미지, 한전 연계 시험·KS C 8564/8565 시험성적서, 전기안전공사 사용전·정기검사 결과</t>
  </si>
  <si>
    <t>열화율과 IV 변화의 기준점. 출하 EL은 보증 청구 시 제조 결함과 현장 손상을 가르는 증거(IEA PVPS T13-10).</t>
  </si>
  <si>
    <t>드론 열화상(IR) 점검 데이터</t>
  </si>
  <si>
    <t>방사측정(radiometric) 원본 IR 영상, 가시광 정사영상, 촬영 시 POA·풍속·외기온, 결함 목록(핫스팟·서브스트링·모듈 전체·스트링 개방·다이오드·오염 패턴), 좌표, 결함별 ΔT, 권장 조치</t>
  </si>
  <si>
    <t>원격 데이터로 특정할 수 없는 모듈 단위 결함 위치를 확정. IR 촬영은 POA&gt;600 W/m², 구름 없음, 약풍, 안정 조건에서 수행하고 모듈 열 안정화에 5~15분이 걸린다(IEA PVPS T13-10). 결함 비율이 모듈의 10%를 넘으면 품질·시공 원인 조사가 권고된다. AI 이미지 모델의 학습·검증 라벨로도 쓴다.</t>
  </si>
  <si>
    <t>EL(전계발광)·UV 형광 이미지</t>
  </si>
  <si>
    <t>야간 역전류 인가 EL 이미지(모듈/스트링 단위), 주간 EL(PL) 이미지, 셀별 결함 라벨(크랙 A/B/C, 비활성 영역, 핑거 단선, PID 체커보드 패턴)</t>
  </si>
  <si>
    <t>크랙·PID·납땜 불량 등 IR로는 약하게 보이는 결함을 셀 해상도로 확인. 수작업 야간 EL은 하룻밤 약 0.2 MWp 수준이라(IEA PVPS T13-10) IR·원격 분석으로 대상을 먼저 좁혀야 경제적이다.</t>
  </si>
  <si>
    <t>정비 이력·작업지시(텍스트)</t>
  </si>
  <si>
    <t>작업지시서, 현장 조치 메모, 교체 부품(퓨즈·커넥터·팬·IGBT 모듈·인버터 전체), 출동 시각·완료 시각(MTTR), 세척 일자·방식·비용, 제초·수목 제거 기록, 보증 청구·RMA 결과</t>
  </si>
  <si>
    <t>AI 고장 분류의 정답 라벨과 조치 효과 검증(세척 후 SR 회복, 교체 후 전류비 회복). Sandia·NREL은 5.5만 건의 정비기록을 ML로 분류해 인버터 빈발 고장 하위계통을 도출했다. 비정형 텍스트는 LLM/NLP로 구조화한다.</t>
  </si>
  <si>
    <t>알람·이벤트 로그 원본과 코드 사전</t>
  </si>
  <si>
    <t>제조사별 고장코드 표(코드→의미→권장조치), 경보 발생/해제 시각, 수동 리셋 기록, 펌웨어 버전 변경 이력</t>
  </si>
  <si>
    <t>다제조사 코드를 공통 고장 분류 체계로 매핑하는 기준. 코드 빈도 추세가 예지 모델의 핵심 특징량.</t>
  </si>
  <si>
    <t>운영 설정값 이력</t>
  </si>
  <si>
    <t>계통 보호 설정표(전압·주파수 단계/시간), LVRT/HVRT/LFRT 적용 여부, 역률·Volt-Var 설정, 출력제한 %, 램프율, 전역 MPPT 스윕 설정, 디레이팅 설정</t>
  </si>
  <si>
    <t>설정 오류·잔존에 따른 손실을 고장과 구분. 2025년 500kW 이상 HVRT·LFRT 설정 개선 같은 규제 이행 확인.</t>
  </si>
  <si>
    <t>출력제어·시장 데이터</t>
  </si>
  <si>
    <t>KPX·중개사업자 출력제어 지령(시각·%), SMP·REC 가격, 발전량 예측제도 제출값·정산 결과, 계약 형태(RPS/PPA/입찰)</t>
  </si>
  <si>
    <t>손실을 원(₩) 단위로 환산해 조치 우선순위(세척·수리·교체)를 경제성으로 정렬. 출력제어 구간 제외.</t>
  </si>
  <si>
    <t>기상·환경 외부 데이터</t>
  </si>
  <si>
    <t>기상청 ASOS 강수·적설·황사 특보, 미세먼지(PM10/PM2.5) 농도, 천리안 위성 일사, 주변 식생·신축 구조물 위성/항공 사진</t>
  </si>
  <si>
    <t>오염 누적·강우 세정 모델, 적설 기간 분석 제외, 신규 음영 원인 확인.</t>
  </si>
  <si>
    <t>자산·보증·보험 정보</t>
  </si>
  <si>
    <t>모듈·인버터 보증 조건(출력 보증 곡선, 인버터 10년 보증 연장 여부), 보험 약관, 예비품 재고, 인버터 단종·부품 공급 상태</t>
  </si>
  <si>
    <t>열화율이 보증 곡선을 넘어서는지 판단, 인버터 수리 vs 교체 의사결정, 예비품 최적화.</t>
  </si>
  <si>
    <t>셀·모듈 사양서와 OCV-SOC 곡선</t>
  </si>
  <si>
    <t>셀 화학(LFP/NMC)·정격용량·공칭전압, 충/방전 분기 OCV-SOC 표(온도별), 허용 전압·온도·C-rate, DCIR 초기값, 사이클 수명 조건, UL 9540A 시험 결과</t>
  </si>
  <si>
    <t>칼만필터 SOC·ICA·보호 한계 근접도 계산의 물리 기준. LFP 히스테리시스를 모르면 SOC 재추정이 틀린다</t>
  </si>
  <si>
    <t>시스템 구성·설계 정보</t>
  </si>
  <si>
    <t>직병렬 구성(셀 S×P, 모듈 수, 랙 수), 센서 위치 맵, 냉각 방식(공랭/액냉)·풍도, 버스바·케이블 경로, PCS 정격, 옥내/옥외 구분, 설치 연월</t>
  </si>
  <si>
    <t>셀 ID→물리 위치 매핑(위치 효과 보정), 옥내/옥외 충전율 기준 적용, 가용 용량 계산</t>
  </si>
  <si>
    <t>보증 계약 조건</t>
  </si>
  <si>
    <t>용량보증 곡선(연차별 SOH), 연간 사이클·처리량 한도, 온도·SOC 운전 조건, 보증수명 기반 충전율, 보증 청구 절차·필요 데이터</t>
  </si>
  <si>
    <t>스트레스 노출과 보증 위반 여부 판정, 보증 청구 근거 자료 자동 생성</t>
  </si>
  <si>
    <t>시운전(FAT/SAT) 기록</t>
  </si>
  <si>
    <t>공장·현장 용량시험 결과, 셀 용량·저항 매칭 분포, 초기 절연저항, 초기 RTE</t>
  </si>
  <si>
    <t>기준선(0일차) 확정. Accure 보고서에서 사업의 83%만 SAT 정격 용량을 충족했고, 공장 FAT에서 셀 용량 편차 1.7%(기준 ≤1%)가 발견된 사례가 있어 초기 상태부터 검증 필요</t>
  </si>
  <si>
    <t>BMS·PCS·EMS 설정값과 펌웨어 변경 이력</t>
  </si>
  <si>
    <t>보호 임계값, SOC 상·하한, CCL 테이블, 밸런싱 임계, HVAC 설정온도, 펌웨어 버전·변경일·변경 사유</t>
  </si>
  <si>
    <t>설정 변경을 열화·고장으로 오인하지 않도록 기준선 재설정, 규정 준수 증빙</t>
  </si>
  <si>
    <t>정비·교체 이력</t>
  </si>
  <si>
    <t>모듈/셀 교체 위치·일자, 접촉기·퓨즈 교체, 버스바 토크 점검값, HVAC 필터·냉매 정비, 소화설비 점검</t>
  </si>
  <si>
    <t>교체 후 기준선 리셋, 조치 효과 검증(전후 비교), AI 모델 라벨(무엇이 실제로 고장이었나)</t>
  </si>
  <si>
    <t>법정 검사·안전점검 결과</t>
  </si>
  <si>
    <t>한국전기안전공사 정기검사 결과, 안전관리자 월 1회 점검표, 소방 점검</t>
  </si>
  <si>
    <t>규정 준수 리포트, 현장 점검 소견과 데이터 이상 교차확인</t>
  </si>
  <si>
    <t>현장 점검 사진·열화상·이상 흔적 기록</t>
  </si>
  <si>
    <t>열화상(IR) 핫스팟, 결로·누수 흔적, 셀 부풀음, 부식, 케이블 손상 사진</t>
  </si>
  <si>
    <t>데이터 이상 탐지 결과의 현장 확인(ground truth), 코칭 리포트 근거 첨부</t>
  </si>
  <si>
    <t>알람·이벤트 로그와 블랙박스 원시 데이터</t>
  </si>
  <si>
    <t>BMS/PCS/EMS 이벤트 로그 원본, 사고 전후 고해상도 기록</t>
  </si>
  <si>
    <t>사고·보호동작 원인 분석, 선행 신호 학습용 희소 라벨 확보</t>
  </si>
  <si>
    <t>제조사 서비스 불리틴·리콜·동일 로트 이슈</t>
  </si>
  <si>
    <t>셀 로트 번호, 제조사 기술공지, 리콜·교체 캠페인, 국내 사고조사 결과 해당 여부</t>
  </si>
  <si>
    <t>같은 로트를 쓰는 사이트의 위험도 가중, fleet 비교 시 공변량</t>
  </si>
  <si>
    <t>기상 데이터</t>
  </si>
  <si>
    <t>외기온·습도·강우(기상청 ASOS/동네예보), 폭염·한파 특보</t>
  </si>
  <si>
    <t>온도·결로·HVAC 부하 정규화, 겨울 저온 충전 위험 예보</t>
  </si>
  <si>
    <t>시장·요금·정책 정보</t>
  </si>
  <si>
    <t>SMP·REC 가격과 가중치, 전기요금 시간대(피크셰이빙용), 출력제어 이력, 충전율·보증수명 관련 고시</t>
  </si>
  <si>
    <t>열화 인지 운전 최적화의 수익 항, 정책 변경에 따른 운전 패턴 변화 해석</t>
  </si>
  <si>
    <t>정기 용량시험·teardown(해체분석) 결과</t>
  </si>
  <si>
    <t>표준 조건 완충-완방 용량, 교체 셀 해체분석(석출·SEI·구리 석출 여부)</t>
  </si>
  <si>
    <t>SOH·열화모드·미세단락 AI 모델의 참값 라벨, 추정 오차 검증</t>
  </si>
  <si>
    <t>조치 결과 태그(피드백 라벨)</t>
  </si>
  <si>
    <t>경보별 '실제 결함/오탐/원인 불명', 수행 조치, 조치 후 지표 회복 여부</t>
  </si>
  <si>
    <t>오탐 억제 규칙 개선과 지도학습 전환의 필수 데이터</t>
  </si>
  <si>
    <t>단선결선도·계량 결선도</t>
  </si>
  <si>
    <t>SLD, CT/PT 위치·비율·극성, 계량점 M1~M10·H1~H6 정의, 변압기 손실 포함 여부</t>
  </si>
  <si>
    <t>수지 폐합식을 세우고 계량점의 부호·배율 오류를 찾으려면 물리적 연결 관계가 필요하다</t>
  </si>
  <si>
    <t>설비 사양·성능곡선</t>
  </si>
  <si>
    <t>전해조 효율(분극)곡선, 최소·최대부하, 냉간·온간 기동시간, 대기전력, 램프율, 정류기 효율곡선, 압축기 비전력, 연료전지 효율곡선, ESS 용량·RTE, 시운전 성능시험 성적서</t>
  </si>
  <si>
    <t>EMS 최적화 제약과 디지털 트윈 초기 파라미터, 기준선 대비 열화 판단의 기준</t>
  </si>
  <si>
    <t>제어 철학·설정값 변경 이력</t>
  </si>
  <si>
    <t>제어 서술서(control narrative), 모드 전환 규칙, 인터록 매트릭스, 설정값·PID 변경관리(MOC) 이력, EMS 소프트웨어 버전</t>
  </si>
  <si>
    <t>데이터에 나타난 변화점이 설비 이상인지 설정 변경인지 구분</t>
  </si>
  <si>
    <t>태그 사전·통신 매핑</t>
  </si>
  <si>
    <t>Modbus 레지스터 맵(워드 순서·스케일팩터), SunSpec 모델 목록, OPC UA NodeSet, IEC 61850 SCL 파일, 펌웨어 버전</t>
  </si>
  <si>
    <t>게이트웨이 매핑 오류(10ⁿ배·부호) 방지와 벤더 교체 시 데이터 연속성 확보</t>
  </si>
  <si>
    <t>계약·시장 조건</t>
  </si>
  <si>
    <t>계통연계 계약(수출·수전 한도, 역률), 전력판매·PPA 계약, 요금제, REC 발급 조건, 수소 판매·출하 계약, 수소발전 입찰 계약(급전 의무)</t>
  </si>
  <si>
    <t>스케줄 목적함수와 제약, PV 전력의 기회비용(포기한 판매수익) 산정</t>
  </si>
  <si>
    <t>청정수소 인증 자료</t>
  </si>
  <si>
    <t>설비확인서, 전과정평가 산정자료, 인증운영기관 기본 제공 데이터 버전, 월별 저탄소 전원-전해조 투입 전력 일치 증빙, 분기 생산 신고서</t>
  </si>
  <si>
    <t>인증 등급 유지 추적과 현장 데이터 심사(물질·에너지 수지 검토) 대응</t>
  </si>
  <si>
    <t>출력제어·계통 운영 이력</t>
  </si>
  <si>
    <t>KPX·한전 출력제어 지령 공문·로그, 계통 정전·선로 작업 일정</t>
  </si>
  <si>
    <t>발전량·수소 생산 저하를 설비 문제로 오판하지 않기 위한 라벨</t>
  </si>
  <si>
    <t>기상 예보·위성 일사 아카이브</t>
  </si>
  <si>
    <t>기상청 단기예보·수치예보 격자값, 위성 일사 추정치(발행시각 포함)</t>
  </si>
  <si>
    <t>예측 모델 학습·백테스트에는 그 시점에 실제로 쓸 수 있었던 예보가 필요하다</t>
  </si>
  <si>
    <t>가격 시계열</t>
  </si>
  <si>
    <t>SMP, REC 가격, 시간대별 요금, 수소 판매가, 용수·질소 단가</t>
  </si>
  <si>
    <t>실적 LCOH, 스케줄 경제성, 설비 대안 비교</t>
  </si>
  <si>
    <t>정비·작업 이력(CMMS)</t>
  </si>
  <si>
    <t>작업지시, 부품 교체(스택·필터·이온교환수지·유량계), 정지 사유 분류</t>
  </si>
  <si>
    <t>가용률 손실 분류(계획/강제), 교체 후 기준선 재설정, 정비 효과 검증</t>
  </si>
  <si>
    <t>계량기 교정·검증 기록</t>
  </si>
  <si>
    <t>교정성적서, 유량계 영점·스팬 확인, 압력계 교정, 계량기 교체일</t>
  </si>
  <si>
    <t>수지 잔차가 계량 오차인지 실제 손실인지 판단</t>
  </si>
  <si>
    <t>출하·판매 전표</t>
  </si>
  <si>
    <t>트레일러 충전 전후 중량, 출하 kg, 순도 성적서</t>
  </si>
  <si>
    <t>외부 반출량(H6) 확정, 분기 신고와 재고 수지</t>
  </si>
  <si>
    <t>인허가·안전검사 이력</t>
  </si>
  <si>
    <t>KGS 검사, 전기안전공사 정기검사, 저장용기 재검사 일정</t>
  </si>
  <si>
    <t>계획정지 예측, 정비 캘린더, 규제 준수 추적</t>
  </si>
  <si>
    <t>네트워크·자산 구성</t>
  </si>
  <si>
    <t>네트워크 구성도, IP·펌웨어 자산목록, 원격접속 정책, 인증서 만료일</t>
  </si>
  <si>
    <t>통신 장애 원인 분석, 보안 점검, 게이트웨이 헬스 판단</t>
  </si>
  <si>
    <t>사이트 메타데이터</t>
  </si>
  <si>
    <t>위치, 용량, 설치연도, 설비 모델, 설계 변경 이력, 동종 사이트 그룹</t>
  </si>
  <si>
    <t>다중 사이트 벤치마킹에서 정규화와 피어 그룹 구성</t>
  </si>
  <si>
    <t>명판·설계 사양</t>
  </si>
  <si>
    <t>기술(AWE/PEM/AEM/SOEC), 셀 수·활성면적, 정격 전류밀도·전압, 균압/차압형, 전해액 순환 방식, 정류기 토폴로지(펄스 수·IGBT), 설계압력·온도</t>
  </si>
  <si>
    <t>이론 생산량·SEC 계산과 기술별 지표 적용 여부, 동종 설비 비교의 전제</t>
  </si>
  <si>
    <t>FAT/SAT 기준 성능 데이터</t>
  </si>
  <si>
    <t>출하·시운전 분극곡선, 정격 SEC(kWh/Nm³), 순도, 초기 셀전압 분포, 기동시간 측정값</t>
  </si>
  <si>
    <t>열화율(µV/h)과 셀별 오프셋의 기준선. 없으면 초기 수백 시간 데이터로 대체해야 해 판정이 늦어짐</t>
  </si>
  <si>
    <t>제조사 운전 한계·인터록 매트릭스(Cause &amp; Effect)</t>
  </si>
  <si>
    <t>최소부하, 램프율, 셀전압 상·하한, 온도·압력 한계, 보호전류 사양, 기동정지 허용 횟수</t>
  </si>
  <si>
    <t>AI 권고가 설비 한계를 넘지 않도록 하는 제약조건, 오탐 기준</t>
  </si>
  <si>
    <t>보증·계약 조건</t>
  </si>
  <si>
    <t>스택 보증 열화율, 보증 운전시간·기동횟수, 가용률 보장, 수질 조건 위반 시 보증 제외 조항</t>
  </si>
  <si>
    <t>RUL·교체 시점과 보증 청구 판단, 수질 이력 증빙</t>
  </si>
  <si>
    <t>정비·교체 이력(CMMS)</t>
  </si>
  <si>
    <t>스택/MEA 교체, 체결 토크 재조정, 수지·필터·흡착제 교체, 전해액 보충·교체, 분석기 교정, 부품 번호·수량</t>
  </si>
  <si>
    <t>기준선 리셋·구간 분리, 소모품 수명 통계, 정비 효과 전후 비교</t>
  </si>
  <si>
    <t>실험실 분석 결과</t>
  </si>
  <si>
    <t>순수 TOC·Fe·Cl·Na, 배출수 불소, KOH 농도·탄산염, 수소 품질 성적서(ISO 14687 항목)</t>
  </si>
  <si>
    <t>온라인 센서로 안 잡히는 오염원 확인, 막 열화 진행도(불소) 추적</t>
  </si>
  <si>
    <t>알람·트립·운전일지</t>
  </si>
  <si>
    <t>트립 코드와 조치 내용, 수동 개입·바이패스 기록, 로크아웃 해제자·시간</t>
  </si>
  <si>
    <t>고장 라벨(지도학습 정답), 반복 고장 패턴, 안전 관리 감사</t>
  </si>
  <si>
    <t>기상·PV 예측과 출력제어 이력</t>
  </si>
  <si>
    <t>일사·운량 예보, 외기온도, 계통 출력제어(curtailment) 지시 시간·량</t>
  </si>
  <si>
    <t>스케줄링 최적화 입력, 냉각·대기전력 정규화, 흐린 날 성능 오판 방지</t>
  </si>
  <si>
    <t>전력요금·시장·인증 자료</t>
  </si>
  <si>
    <t>계약전력·역률요금 조건, SMP·REC 가격, 청정수소 인증 전력원 증빙, 수소 판매단가</t>
  </si>
  <si>
    <t>운전 권고를 원가(kg당 전력비·열화비)로 환산해 경영진 리포트에 제시</t>
  </si>
  <si>
    <t>법정 검사·안전 기록</t>
  </si>
  <si>
    <t>KGS 검사 결과, 자동차단밸브 개폐 횟수, 가스검지기 교정, 안전관리자 점검표</t>
  </si>
  <si>
    <t>KGS AH271 요구사항 준수 추적, 검사 전 선제 정비</t>
  </si>
  <si>
    <t>설비 명판·설계정보</t>
  </si>
  <si>
    <t>압축기 형식·단수·설계 압력비·정격유량, 용기 Type·내용적(수용적)·MAWP·설계 사이클 수·재질·KIH, PSV 설정압·분출용량, 검지기 방식·측정범위·설치 높이, 방폭 등급</t>
  </si>
  <si>
    <t>Z보정 재고(내용적), 피로 소모율(설계사이클), 정규화 기준값, 규정 적합성 판정에 필수</t>
  </si>
  <si>
    <t>P&amp;ID·원인-결과(C&amp;E) 매트릭스·위험장소 구분도</t>
  </si>
  <si>
    <t>태그 목록, 인터록 로직표, KGS GC101 폭발위험장소 도면, 검지기·화염감지기 커버리지 도면</t>
  </si>
  <si>
    <t>센서-자산 매핑, ESD 이벤트 해석, 검지 공백 구역 분석</t>
  </si>
  <si>
    <t>법정 검사·인허가 이력</t>
  </si>
  <si>
    <t>완성검사·정기검사 증명서, 저장탱크·압력용기 재검사(KGS AC116/AC414/AA316) 일정, 사용신고·제조허가 사항, 안전관리규정 준수 확인·평가 결과</t>
  </si>
  <si>
    <t>검사 캘린더 자동화, 만기 누락 방지, 코칭 리포트의 규제 섹션</t>
  </si>
  <si>
    <t>일일·사용전후 점검표</t>
  </si>
  <si>
    <t>FU671 3.3.4: 1일 1회 누출·계기 지시·온도/압력/유량 변동·부식·회전기계 진동/이상음·검지경보장치 상태·접지선 점검 결과</t>
  </si>
  <si>
    <t>법정 기록이자 사람의 관찰 데이터(이상음·냄새·외관). FU671은 점검기록으로 열화경향을 파악해 차기 정비에 활용하도록 요구</t>
  </si>
  <si>
    <t>정비 작업지시·부품교체·체결 기록</t>
  </si>
  <si>
    <t>다이어프램·패킹·밸브 교체일과 운전시간, 피팅 체결 토크값·작업자, 치환·기밀시험 결과, 오일 교체·분석(점도·수분·금속분)</t>
  </si>
  <si>
    <t>고장-신호 라벨(지도학습 정답), 기준선 재학습 시점, Kjørbo형 조립 불량 추적</t>
  </si>
  <si>
    <t>검지기 교정·기능시험 성적</t>
  </si>
  <si>
    <t>표준가스 농도, as-found/as-left 오차, 응답시간 t90, 센서 교체 여부, 화염감지기 테스트 램프 결과</t>
  </si>
  <si>
    <t>검지기 건전성 모델의 정답 데이터, 교정주기 최적화 근거</t>
  </si>
  <si>
    <t>안전밸브·긴급차단장치 시험기록</t>
  </si>
  <si>
    <t>PSV 작동시험 설정압 편차, 파열판 교체일, 긴급차단밸브 시트누출·작동검사(FU671 3.1.5.1), 부분작동시험 결과</t>
  </si>
  <si>
    <t>최종 방호 계층의 건전성 증빙, 작동시간 추세와 결합</t>
  </si>
  <si>
    <t>가스 분석·품질 기록</t>
  </si>
  <si>
    <t>수전해 발생장치·정제장치·저장설비 출구 1일 1회 가스분석(O2, H2O, 순도)</t>
  </si>
  <si>
    <t>산소 혼입 추세 교차검증, 연료전지 피독 원인 추적, 청정수소 인증 증빙</t>
  </si>
  <si>
    <t>사고·아차사고·경보 조치 보고</t>
  </si>
  <si>
    <t>경보 원인 판정(실누출/오보/교정), 조치 내용, 사진, 휴대용 검지기·발포액 확인 결과</t>
  </si>
  <si>
    <t>오탐/정탐 라벨로 탐지 임계 튜닝, 반복 누출 지점 지도화</t>
  </si>
  <si>
    <t>작업허가·운영 설정값 변경 이력</t>
  </si>
  <si>
    <t>화기작업·용접 허가(화염감지기 오보 대조), 압축기 기동/정지 압력 설정, 경보 설정치 변경</t>
  </si>
  <si>
    <t>데이터 변화가 설비 열화인지 설정 변경인지 구분</t>
  </si>
  <si>
    <t>기상·전력·운영계획</t>
  </si>
  <si>
    <t>일사 예보, PV 발전 예측, 연료전지 급전·입찰 계획, 전력단가(시간대별), 수소 판매·이송 계획</t>
  </si>
  <si>
    <t>재고·수요 예측과 압축기 운전 스케줄 최적화, 비전력 손실비용 환산</t>
  </si>
  <si>
    <t>명판·설계정보</t>
  </si>
  <si>
    <t>셀 수, 활성면적, 정격 전류밀도, 공장시험(FAT) BOL 분극곡선, 막·촉매 사양, BoP 부품 모델·정격, 운전 한계값, 연료 사양</t>
  </si>
  <si>
    <t>V@j_ref와 열화율 계산의 분모, 물리 기반 분극모델의 초기값, 사이트 간 공정 비교의 기준이다.</t>
  </si>
  <si>
    <t>제조사 제어 파라미터·로직 문서와 펌웨어 변경 이력</t>
  </si>
  <si>
    <t>λ 목표, 퍼지 조건, 셀전압 클램프, 램프 제한, 보호 설정값, 변경 일시·사유</t>
  </si>
  <si>
    <t>제어 변경에 따른 성능 계단 변화를 열화와 구분하고, AI가 제안하는 운전전략이 허용 범위 안에 있는지 확인하는 데 필요하다.</t>
  </si>
  <si>
    <t>스택·MEA·주요 부품 교체와 회복운전 이력</t>
  </si>
  <si>
    <t>교체 셀·모듈 번호, 일자, 사유, 회복운전 일시·절차</t>
  </si>
  <si>
    <t>기준선 재학습, 가역·비가역 손실 분리, RUL 모델의 수명 종료 라벨로 쓴다.</t>
  </si>
  <si>
    <t>정비이력(CMMS 작업지시)</t>
  </si>
  <si>
    <t>고장 부품 코드, 원인, 조치, 소요시간, 비용, 사용 예비품</t>
  </si>
  <si>
    <t>BoP 예지정비 학습 라벨, MTTR 산정, 원인 파레토와 LTSA 성과 검증에 쓴다.</t>
  </si>
  <si>
    <t>알람·트립 코드 사전과 원문 로그</t>
  </si>
  <si>
    <t>제조사 코드표, 코드별 의미·조치, 발생 순서</t>
  </si>
  <si>
    <t>강제정지 원인 분류와 동시발생(선행 알람) 분석을 가능하게 한다.</t>
  </si>
  <si>
    <t>정기 성능시험 결과</t>
  </si>
  <si>
    <t>분극곡선, EIS, 수소 크로스오버·누설 시험, IEC 62282-3-200 기준 효율 시험</t>
  </si>
  <si>
    <t>운전 데이터만으로는 분리되지 않는 손실 성분을 확정하고 진단·RUL 모델을 보정한다.</t>
  </si>
  <si>
    <t>수소 품질 분석 성적서</t>
  </si>
  <si>
    <t>ISO 14687 항목(CO, 총 황, O2, H2O, 암모니아 등), 수전해 건조·탈산소기 상태</t>
  </si>
  <si>
    <t>촉매 피독 원인을 분리하고 청정수소 인증·입찰을 증빙한다.</t>
  </si>
  <si>
    <t>도시가스 성분·부취제·탈황제 정보(개질형)</t>
  </si>
  <si>
    <t>열량, 황화합물 농도, 탈황제 충전량·교체 기록</t>
  </si>
  <si>
    <t>탈황제 파과 시점 예측과 개질계통 진단에 필요하다.</t>
  </si>
  <si>
    <t>기상·대기질 데이터</t>
  </si>
  <si>
    <t>기온·습도·기압·일사(기상청), SO2·NO2·PM(에어코리아), 한파·폭염 예보</t>
  </si>
  <si>
    <t>성능 정규화, 공기측 피독 원인 분리, 동결 리스크 예측, 태양광·수소 생산 예측에 쓴다.</t>
  </si>
  <si>
    <t>HPS 계약·정산·급전 데이터</t>
  </si>
  <si>
    <t>계약물량, 계약단가 구조(고정비·연료비), 이월·차입 사용 내역, 월별 정산서, 급전 지령 이력</t>
  </si>
  <si>
    <t>계약 이행 리스크 예측과 디스패치 최적화 목적함수, 경영진 KPI(고정비 회수율)의 기반이다.</t>
  </si>
  <si>
    <t>시장 가격</t>
  </si>
  <si>
    <t>시간별 SMP, 열 판매단가, 수소 조달·생산 원가, 환율·연료비 인덱스</t>
  </si>
  <si>
    <t>수익 기반 운전계획, 열·전기 최적 디스패치, 정비 시점의 기회비용 계산에 쓴다.</t>
  </si>
  <si>
    <t>열 수요·열 판매 계약</t>
  </si>
  <si>
    <t>수요처 부하 패턴, 공급온도 조건, 최소 공급량</t>
  </si>
  <si>
    <t>CHP 디스패치 제약과 HPS 에너지효율성(열 활용) 증빙에 필요하다.</t>
  </si>
  <si>
    <t>LTSA·보증 계약 조건</t>
  </si>
  <si>
    <t>보증 가용률·출력·효율, 원시데이터 제공 범위·주기, 스택 교체 조건, 페널티</t>
  </si>
  <si>
    <t>제조사 성과를 검증하고 클레임 근거를 만들며, 콘솔이 받을 수 있는 데이터 범위를 확정한다.</t>
  </si>
  <si>
    <t>안전·법정 검사 기록</t>
  </si>
  <si>
    <t>KGS FU671 정기검사, 전기안전공사 정기검사, 검지기 교정, 안전밸브 검사</t>
  </si>
  <si>
    <t>정비 캘린더와 컴플라이언스 알림, 검사 전후 설비 상태 비교에 쓴다.</t>
  </si>
  <si>
    <t>현장 점검 사진·열화상·운전일지</t>
  </si>
  <si>
    <t>누설 흔적, 필터 오염, 배관 결로, 인버터 열점, 운전원 특이사항</t>
  </si>
  <si>
    <t>비정형 증거로 AI 판정을 검증하고 라벨을 보강하며, LLM 리포트의 근거 자료로 쓴다.</t>
  </si>
  <si>
    <t>예비품 재고·리드타임</t>
  </si>
  <si>
    <t>스택·모듈, 블로워, 퍼지밸브, DI 필터, 가습기 재고와 조달 기간</t>
  </si>
  <si>
    <t>MTTR 예측, 교체 계획, 계약 이행 리스크 산정에 필요하다.</t>
  </si>
  <si>
    <t>계측 메타데이터</t>
  </si>
  <si>
    <t>센서 위치·정확도·교정일, 통신 경로, 계량기 CT/PT비, 시간 동기 방식</t>
  </si>
  <si>
    <t>데이터 품질을 판정하고 센서 드리프트를 설비 열화와 구분한다.</t>
  </si>
  <si>
    <t>청정수소 인증 관련 데이터</t>
  </si>
  <si>
    <t>수전해 투입 전력원 비율(태양광·ESS·계통), kWh/kgH2, 수소 물질수지</t>
  </si>
  <si>
    <t>청정수소발전시장 참여와 등급 유지 증빙에 필요하다.</t>
  </si>
  <si>
    <t>벤더 계약서 데이터 조항 현황</t>
  </si>
  <si>
    <t>데이터 소유권, API 조건·요금, 병행 폴링 허용, 보증 면책 조항, 계약 종료 시 이관, LTSA 보증 산식</t>
  </si>
  <si>
    <t>항목별 데이터 접근성 판정과 재협상 대상 선별. 없으면 수집 목록이 희망 목록에 그친다</t>
  </si>
  <si>
    <t>레지스터 맵·태그 사전</t>
  </si>
  <si>
    <t>주소, 데이터형, 스케일팩터, 단위, 부호 규약(충전 +/−), 펌웨어 버전별 차이</t>
  </si>
  <si>
    <t>미매핑 태그를 표준 메트릭으로 연결하고 단위·부호 오류로 인한 분석 오염을 막는다</t>
  </si>
  <si>
    <t>알람·트립 코드 사전(버전별)</t>
  </si>
  <si>
    <t>(vendor, model, firmware, code) → 의미·심각도·권장 조치·공통 분류·ISO 14224 고장모드</t>
  </si>
  <si>
    <t>벤더 간 알람 비교, 반복 원인 분석, 동종 설비 벤치마킹</t>
  </si>
  <si>
    <t>사내 As-is 진단 결과</t>
  </si>
  <si>
    <t>발전소별 인버터 주기, 서버 보관기간, REMS 연계, 계량 조회, 일사계 교정일, 정비기록 형태, 알람 보관, 입지 유형, 통신·UPS</t>
  </si>
  <si>
    <t>L0~L3 단계 판정, 예산 요청, 우선 협상 대상 선정</t>
  </si>
  <si>
    <t>법정 검사·점검 기록</t>
  </si>
  <si>
    <t>한국전기안전공사 정기검사 성적서, 전기안전관리자 월 점검표(4년 보존), 한국가스안전공사 정기검사, 수소 안전관리 이행기록, 산지 정기 조사·점검 결과</t>
  </si>
  <si>
    <t>규제 준수 하한선, 과거 이력 라벨(신뢰등급 A~B), 콘솔을 법정 기록 대장으로 겸용</t>
  </si>
  <si>
    <t>과거 정비 이력(비정형)</t>
  </si>
  <si>
    <t>엑셀 정비대장, 종이 작업일지, 메신저 사진, 대행사 보고서</t>
  </si>
  <si>
    <t>생존분석·고장 분류의 초기 라벨. 신뢰등급을 붙여 학습용과 탐색용을 구분</t>
  </si>
  <si>
    <t>입지·토목 설계 정보</t>
  </si>
  <si>
    <t>재해위험성 검토의견서(사면 안정성), 배수 계획도, 부유체·계류 설계(수위 범위), 지붕 하중·방수 보증 조건, 해안 이격거리</t>
  </si>
  <si>
    <t>입지 유형별 점검 항목과 강우·풍속 트리거 임계값 설정</t>
  </si>
  <si>
    <t>보호계전기 정정 협의서·계통연계 조건</t>
  </si>
  <si>
    <t>한전 배전계통 연계 협의 정정값, FRT·역률·무효전력 설정, 변경 승인 이력</t>
  </si>
  <si>
    <t>설정 변경 이벤트의 정당성 확인, 트립 원인 분석</t>
  </si>
  <si>
    <t>요금·시장 가격</t>
  </si>
  <si>
    <t>SMP 시간별, REC 계약·현물 가격, 예측제도 정산 단가, 한전 계시별 요금·기본요금, HPS 계약 조건</t>
  </si>
  <si>
    <t>회수 kWh·kg의 금액 환산, 규모별 손익분기, 전해조 스케줄링 가치</t>
  </si>
  <si>
    <t>O&amp;M 조직·계약 KPI 정의서</t>
  </si>
  <si>
    <t>사이트별 수행 주체(자체/위탁/대행/OEM LTSA), RACI, 응답·해결 SLA, 가용률 산식과 제외 범주, 보너스·말러스</t>
  </si>
  <si>
    <t>권고가 조치로 이어지는 책임선과 효과 검증 기준</t>
  </si>
  <si>
    <t>OT 네트워크 구성도·자산 목록</t>
  </si>
  <si>
    <t>존·컨듀잇 도면, 방화벽 규칙, 통신모듈 BOM, 원격접속 계정 목록, 제조사 클라우드 연결 목적지</t>
  </si>
  <si>
    <t>보안 경계 검증, 벤더 연결 위험 평가, 사고 시 격리 범위 결정</t>
  </si>
  <si>
    <t>AI 공통</t>
  </si>
  <si>
    <t>설계·준공 도서와 명판 사양</t>
  </si>
  <si>
    <t>모듈 데이터시트(온도계수·정격), 인버터 효율 곡선, 배터리 셀 사양·보증 조건, 전해조 셀 수·활성면적·분극곡선, 압축기·탱크 용적·설계압, 단선도, 모듈·스트링 배치도</t>
  </si>
  <si>
    <t>물리 기대값과 디지털 트윈 파라미터의 출발점. 명판이 없으면 콜드스타트 기간에 쓸 수 있는 기준이 사라지고 동종 코호트도 만들 수 없다.</t>
  </si>
  <si>
    <t>정비 이력 원문</t>
  </si>
  <si>
    <t>정비일지, 작업지시 자유 서술, 민원·출동 기록, 외주 점검·수리 보고서, 전후 사진</t>
  </si>
  <si>
    <t>고장 라벨의 원천. 기술 언어 처리(TLP)·LLM 추출로 고장 모드·조치·시각을 구조화해야 지도학습·생존분석이 가능하다.</t>
  </si>
  <si>
    <t>알람·이벤트 코드 사전</t>
  </si>
  <si>
    <t>제조사별 알람 코드표, 심각도, 권장 조치, 펌웨어 버전별 코드 변경 내역</t>
  </si>
  <si>
    <t>서로 다른 제조사 알람을 공통 고장 모드로 정규화해 진단 특징과 라벨로 쓰기 위함.</t>
  </si>
  <si>
    <t>점검 영상·사진 원본</t>
  </si>
  <si>
    <t>드론 열화상(방사 데이터 포함 원본)·가시광 정사영상, 야간 EL 이미지, 비행 로그(GPS·고도·시각), 육안 점검 사진</t>
  </si>
  <si>
    <t>컴퓨터 비전 결함 탐지 학습·재분석, 반복 점검 간 결함 진행 비교. 압축 JPG만 남기면 온도 재계산이 불가능하다.</t>
  </si>
  <si>
    <t>운영 설정·운전 정책 변경 이력</t>
  </si>
  <si>
    <t>ESS SOC 운용 창·충전 스케줄, 전해조 최소부하·기동 정책, 세정 주기, 인버터 역률·출력 설정, 펌웨어 업데이트 일자</t>
  </si>
  <si>
    <t>재기준선 시점과 드리프트 원인 판단, 조치 효과 검증의 개입 시점 정의.</t>
  </si>
  <si>
    <t>모듈 열화 보증, 배터리 용량·가용률 보증, O&amp;M 계약 SLA, 스택 교체 보증 조건</t>
  </si>
  <si>
    <t>열화율·가용률 분석 결과를 보증 청구로 연결하는 임계값, 정비 최적화의 비용·벌칙 파라미터.</t>
  </si>
  <si>
    <t>비용·자원 데이터</t>
  </si>
  <si>
    <t>작업 유형별 단가·표준 작업 시간, 부품 가격·리드타임·재고, 인력 기술 등급·거점, 사이트 간 이동 시간</t>
  </si>
  <si>
    <t>정비 일정 최적화(처방)의 제약과 목적함수. 없으면 우선순위만 낼 뿐 일정 최적화는 불가능하다.</t>
  </si>
  <si>
    <t>시장·제도 정보</t>
  </si>
  <si>
    <t>SMP·REC 가격, 재생에너지 발전량 예측제도 정산 규칙, 수소발전 입찰 정산 구조, 출력제어 공지, REC 가중치 규칙</t>
  </si>
  <si>
    <t>손실의 원화 환산, 운전 최적화 제약, 예측 모델 성능 목표(오차율 기준) 설정.</t>
  </si>
  <si>
    <t>전기안전공사 정기검사 결과, KGS 재검사·완성검사 기록, 가스 검지기 교정 이력, 안전관리자 점검표</t>
  </si>
  <si>
    <t>정비 일정의 고정 제약, 안전 카테고리 경보의 근거, 센서 신뢰도(교정 경과일) 반영.</t>
  </si>
  <si>
    <t>사고·고장 근본원인 분석(RCA) 보고서</t>
  </si>
  <si>
    <t>트립·화재·누설 사건 조사 보고, 제조사 분해 분석 결과, 재발 방지 대책</t>
  </si>
  <si>
    <t>가장 신뢰도 높은 라벨이며 시뮬레이터 고장 시나리오와 탐지기 회귀 시험의 근거.</t>
  </si>
  <si>
    <t>외부 벤치마크·공개 데이터</t>
  </si>
  <si>
    <t>NREL PV 차량 성능 통계, EPRI BESS 고장 DB, 공개 배터리 수명 데이터셋, 제조사 신뢰성 자료</t>
  </si>
  <si>
    <t>자사 데이터가 적은 초기의 비교 기준, 사전학습·전이학습 원천, 희소 고장 모드 보강.</t>
  </si>
  <si>
    <t>데이터 거버넌스·보안 정책</t>
  </si>
  <si>
    <t>외부 클라우드·외부 LLM 전송 허용 범위, 발주처·연동 기관 보안 요구, 데이터 보존 기간, 제조사와의 데이터 공유 계약</t>
  </si>
  <si>
    <t>LLM 활용, 클라우드 ML 서비스, 연합학습 필요성 등 방법 선택을 좌우하는 선결 조건.</t>
  </si>
  <si>
    <t>LLM·코칭</t>
  </si>
  <si>
    <t>데이터 등급·반출 정책</t>
  </si>
  <si>
    <t>필드별 등급(공개/내부/영업비밀/보안), 외부 LLM 전송 허용 여부, 가명화 규칙(사이트명·좌표·계약자명→토큰), 배포 옵션별 허용 데이터</t>
  </si>
  <si>
    <t>어떤 데이터를 어느 배포 옵션(엔터프라이즈 클라우드·자사 VPC·망분리)으로 보낼지 코드로 강제하기 위해 필요하다. 없으면 편의상 원시 데이터가 외부로 나가는 사고가 생긴다.</t>
  </si>
  <si>
    <t>플레이북(고장모드 카탈로그)</t>
  </si>
  <si>
    <t>failure_mode_key별 가능 원인, 구별 점검, 조치, 필요 부품·자격, 기대효과 범위, 안전 주의사항, 근거 조항</t>
  </si>
  <si>
    <t>LLM이 원인·조치를 창작하지 않고 승인된 목록에서 고르고 설명하게 한다. 조치 효과 검증 결과로 항목별 신뢰도를 갱신한다.</t>
  </si>
  <si>
    <t>역할·승인 권한표</t>
  </si>
  <si>
    <t>리포트 발행 승인자, 작업지시 승인자, 안전 관련 권고 필수 검토자(전기안전관리자, 가스안전관리자), 에이전트 도구별 사용 권한</t>
  </si>
  <si>
    <t>사람 승인 게이트를 시스템에 넣기 위한 기준이다. 인공지능기본법상 사람의 관리·감독 요구에 대응하는 증빙이 된다.</t>
  </si>
  <si>
    <t>비용·단가 마스터</t>
  </si>
  <si>
    <t>출동비, 시간당 인건비, 부품 단가, 크레인·드론·세정 비용, 정지 1시간당 손실 산식, 수소 kg당 가치</t>
  </si>
  <si>
    <t>기대효과를 금액으로 바꾸고 순가치(회피손실−조치비용)로 우선순위를 매기려면 필요하다. LLM이 아니라 결정적 코드가 이 표로 계산한다.</t>
  </si>
  <si>
    <t>프롬프트·출력 스키마·모델 버전 레지스트리</t>
  </si>
  <si>
    <t>prompt 버전, ReportDraft 스키마 버전, 모델 ID와 날짜, 샘플링 설정, 검색 설정(청크 크기, top-k, 재정렬기), 버전별 평가 점수</t>
  </si>
  <si>
    <t>같은 팩으로 같은 리포트를 재현하고, 품질이 떨어졌을 때 어떤 변경 때문인지 추적하기 위해 필요하다.</t>
  </si>
  <si>
    <t>모델 라이선스·약관·보안 설정 기록</t>
  </si>
  <si>
    <t>상업 이용 가능 여부(예: EXAONE 4.0은 NC 라이선스), 데이터 보존·학습 사용 조건, 처리 지역(Global/DataZone/지역 배포), 남용 모니터링 설정</t>
  </si>
  <si>
    <t>국산·오픈웨이트 모델 도입이나 클라우드 계약 시 법적 리스크를 관리하고, 발주처 보안 심사에 답하기 위해 필요하다.</t>
  </si>
  <si>
    <t>현장 인력 역할·숙련 수준(개인 식별 없이 역할 단위)</t>
  </si>
  <si>
    <t>신입/경력 구분, 보유 자격(전기·가스), 담당 설비 유형, 선호 설명 수준</t>
  </si>
  <si>
    <t>같은 권고라도 초보 기술자에게는 단계별 절차를, 숙련자에게는 요점만 주도록 설명 수준을 조절한다. 생성형 AI 보조의 효과는 초보자에게 가장 크다는 연구가 있다.</t>
  </si>
  <si>
    <t>규제·기준 개정 이력</t>
  </si>
  <si>
    <t>KGS 코드 개정일과 변경 조항, 인공지능기본법 시행령·고영향 AI 가이드라인, 국정원 생성형 AI 보안 지침, 태양광 원격감시·제어 안전기준</t>
  </si>
  <si>
    <t>폐지·개정 전 조항을 인용하는 오류를 막고, 규제 변화에 맞춰 승인 게이트와 기록 보관 범위를 조정한다.</t>
  </si>
  <si>
    <t>사이트 명판·설계 정보 요약</t>
  </si>
  <si>
    <t>설비 모델명·용량·설치일·펌웨어 버전·보증 만료일(1차 리서치의 자산 계층과 동일 원천)</t>
  </si>
  <si>
    <t>RAG 검색에서 해당 사이트 설비 모델의 매뉴얼만 걸러내는 메타데이터 필터로 쓴다. 다른 모델 매뉴얼을 인용하는 오류를 막는다.</t>
  </si>
  <si>
    <t>상용 사례</t>
  </si>
  <si>
    <t>정비 티켓·작업지시(CMMS) 원문</t>
  </si>
  <si>
    <t>접수 시각, 증상 서술(자유 텍스트), 조치 내용, 교체 부품, 완료 시각, 작업자</t>
  </si>
  <si>
    <t>코칭 폐루프의 핵심. Sandia pvOps는 티켓 텍스트를 자연어처리(NLP)로 분류하고 발전 데이터와 시간축으로 맞춰(text2time) 고장모드별 손실을 계산한다. Power Factors도 CMMS 연동으로 탐지와 조치를 잇는다. 조치 전후 성능을 비교해야 권고의 효과를 검증할 수 있다.</t>
  </si>
  <si>
    <t>제조사 알람 코드 사전·매뉴얼</t>
  </si>
  <si>
    <t>인버터·PCS·BMS·전해조 벤더별 고장코드 표, 심각도, 권장 조치</t>
  </si>
  <si>
    <t>벤더마다 다른 코드를 공통 고장 분류로 매핑해야 다중 벤더 통합 분석이 가능하다. REMS가 제조사별 프로토콜 통일을 핵심 성과로 꼽을 만큼 국내 파편화가 크다.</t>
  </si>
  <si>
    <t>설비 대장·배치도(스트링 맵, 모듈 좌표, 랙·엘리먼트 번호)</t>
  </si>
  <si>
    <t>인버터-MPPT-스트링-모듈 대응표, 모듈 GPS 좌표, BESS 랙 배치, 전해조 셀랙 번호</t>
  </si>
  <si>
    <t>드론 열화상 결함을 위치에 매핑하고, I-V·셀전압 이상을 실제 교체 대상과 연결하는 데 필요하다.</t>
  </si>
  <si>
    <t>커미셔닝·인수시험 결과</t>
  </si>
  <si>
    <t>초기 용량시험, 초기 I-V 기준곡선, 준공 열화상, 초기 kWh/kg·스택 전압 곡선</t>
  </si>
  <si>
    <t>열화 추세의 기준선(0점)이다. ACCURE·TWAICE 사례처럼 인수 전 결함을 걸러내는 근거이기도 하다.</t>
  </si>
  <si>
    <t>보증·장기서비스계약(LTSA) 조건</t>
  </si>
  <si>
    <t>성능보증 PR·가용률, 배터리 C-rate·온도·DoD 한도, 데이터 제공 조항, 응답시간(Nel 당일 접수 등), 보증 배상 조건</t>
  </si>
  <si>
    <t>보증 청구 근거를 쌓고, 연료전지·전해조처럼 제조사가 데이터를 쥔 설비의 원시데이터 접근권을 확보하기 위해 필요하다.</t>
  </si>
  <si>
    <t>점검 보고서·현장 사진</t>
  </si>
  <si>
    <t>정기점검표, 드론 보고서 PDF, 결함 사진, 전기안전공사·가스안전공사 검사 결과</t>
  </si>
  <si>
    <t>AI 탐지 결과를 검증하는 라벨 데이터이자 규제 대응 증빙이다.</t>
  </si>
  <si>
    <t>시장·정산 데이터</t>
  </si>
  <si>
    <t>SMP, REC 가격, 청정수소 발전 입찰가, 수소 판매단가, 출력제어 보상 여부</t>
  </si>
  <si>
    <t>손실 kWh를 원으로 바꿔 우선순위를 매기고, 수소 체인(잉여전력 → 수소)의 경제성을 평가한다.</t>
  </si>
  <si>
    <t>외부 사고·고장 데이터베이스</t>
  </si>
  <si>
    <t>EPRI BESS Failure Incident Database, 국내 ESS 화재 조사 결과, NREL 수소충전소 신뢰성 데이터</t>
  </si>
  <si>
    <t>고장모드 사전확률과 감시 우선순위를 정한다. 예: EPRI 분석에서 BESS 고장의 72%가 시공·시운전·운전 2년 이내에 발생.</t>
  </si>
  <si>
    <t>벤더 클라우드 계정·API 조건</t>
  </si>
  <si>
    <t>API 호출 한도, 제공 항목·주기, 과금, 원시데이터 export 가능 여부</t>
  </si>
  <si>
    <t>실제로 무엇을 얼마나 자주 가져올 수 있는지가 분석 가능 범위를 정한다(다중 벤더 통합의 현실 제약).</t>
  </si>
  <si>
    <t>기상 관측·예보</t>
  </si>
  <si>
    <t>기상청 ASOS 관측, 동네예보, 위성 일사, 미세먼지 농도</t>
  </si>
  <si>
    <t>기대발전량 계산과 발전량 예측에 필요하다(KETEP 2026 과제는 미세먼지 영향을 반영해 예측정확도 95% 이상을 목표로 함).</t>
  </si>
  <si>
    <t>공통·운영</t>
  </si>
  <si>
    <t>장부·전표</t>
  </si>
  <si>
    <t>수소 반입 전표</t>
  </si>
  <si>
    <t>공급자, 트레일러 번호, 반입 질량[kg], 잔압(heel)[kg], 단가, 단가 기준(운송비·부가세 포함 여부), 청정수소 등급, 성적서 순도</t>
  </si>
  <si>
    <t>물질수지 식 ‘반입’ 항의 2순위 소스(1순위는 하역 적산계). 계량값과 건별로 대조해 편차율을 본다. 둘 다 없는 날은 판정 불능이다</t>
  </si>
  <si>
    <t>산소 출하 전표</t>
  </si>
  <si>
    <t>구매자, 차량 번호, 출하 질량[kg], 단가, 순도, 법정 품질검사 번호</t>
  </si>
  <si>
    <t>산소 회수율(출하 ÷ 이론생산)과 방출 손실률의 분자. 압축기 투자 판단의 근거 자료가 된다</t>
  </si>
  <si>
    <t>법정 산소 품질검사 기록</t>
  </si>
  <si>
    <t>1일 1회 이상 순도 99.5% 이상 확인 결과, 검사자, 검사 시각</t>
  </si>
  <si>
    <t>고압가스 안전관리법 시행규칙 별표4상 산소 제조자 의무. 준수율 100%가 목표이며 리포트 준수 절에 싣는다</t>
  </si>
  <si>
    <t>세정·교체 이력</t>
  </si>
  <si>
    <t>열교환기 세정일과 세정액, RO 세정일, 혼상수지 교체일과 그때의 누적 통수량, 필터 교체</t>
  </si>
  <si>
    <t>기준선 리셋 시점. 남기지 않으면 성능 회복을 열화로, 교체 직후 값을 이상으로 오판한다</t>
  </si>
  <si>
    <t>도면 리비전과 명판 회신</t>
  </si>
  <si>
    <t>P&amp;ID 리비전 번호, 압력 기준(게이지/절대), Nm³ 기준조건(0/15/20 °C), 감압 단수·조정기 등급, 열교환기 벽 구조, 트레일러 형식</t>
  </si>
  <si>
    <t>숫자가 아니라 해석의 기준이다. 미확인이면 질량 환산과 임계가 전부 가정 위에 선다(수소 재고 3.3%, Nm³ 환산 약 7% 차이)</t>
  </si>
  <si>
    <t>설비별 설계수명·열화율·교체주기</t>
  </si>
  <si>
    <t>[n]은 '출처' 시트 번호. '추정'은 원문에서 확인하지 못한 값이며 제조사 매뉴얼로 확정해야 합니다.</t>
  </si>
  <si>
    <t>설비</t>
  </si>
  <si>
    <t>설계수명·기준</t>
  </si>
  <si>
    <t>대표 열화·신뢰성</t>
  </si>
  <si>
    <t>교체·점검 주기</t>
  </si>
  <si>
    <t>PV 모듈</t>
  </si>
  <si>
    <t>사업 수명 30년 가정(ATB) [16]. 보증 예: 30년 선형, 첫해 ≤1%, 이후 −0.4%/년. 30년차 약 87.4%는 계산 [15]</t>
  </si>
  <si>
    <t>문헌 약 2,000건 중앙값 0.5%/년 [1]. 결정질 Si 중앙값 0.5~0.6%/년, 평균 0.8~0.9%/년 [2]. 미국 시스템 성능저하율 중앙값 −0.75%/년, 오염 제외 시 약 −0.5%/년, 온대 −0.5 ~ 고온 −0.88%/년 [3]. ATB 가정 0.7%/년 [16]</t>
  </si>
  <si>
    <t>무결성 점검 반기(최소 요건), 열화상 반기(권고), 세척은 현장 조건(자동세척이 없으면 반기) [9]. 이상 모듈 출력시험 5년 주기 예시 [8]</t>
  </si>
  <si>
    <t>[1][2][3][9][15][16]</t>
  </si>
  <si>
    <t>스트링·접속반</t>
  </si>
  <si>
    <t>플랜트 수명 동안 퓨즈·서지보호기 등 부품 교체(추정)</t>
  </si>
  <si>
    <t>소형 설비는 알람 누락이 잦음(추정)</t>
  </si>
  <si>
    <t>접속반 개방 점검(퓨즈·체결·침수·부식·IR) 연 1회 [8]. 퓨즈 상태 연 1회(표본), 케이블 절연저항 연 1회 [9]. 유지보수 요건은 IEC 62446-2 [24]</t>
  </si>
  <si>
    <t>[8][9][24]</t>
  </si>
  <si>
    <t>인버터(PCS)</t>
  </si>
  <si>
    <t>수명은 통상 15년으로 언급 [18]. 보증 10년 표준, 20년 연장 증가 [8]</t>
  </si>
  <si>
    <t>평균고장간격(MTBF) 약 11~12년이라 플랜트 수명 중간쯤 교체 예상 [12]. MTBF 1~16년 [19]. 스위스 주거용은 15년차에 34.3%가 첫 고장 [18]. 운영사 사례에서 에너지 손실의 36%가 인버터 [19]</t>
  </si>
  <si>
    <t>필터 청소 반기·교체 2년, 퓨즈·서지보호기 반기, 환기 기능시험 반기, 열화상 연 1회, 배터리·팬 교체는 제조사 권고(예시 3년·5년) [9]. 전해 커패시터 수명은 온도가 10°C 내려갈 때마다 2배 [20]</t>
  </si>
  <si>
    <t>[8][9][12][18][19][20]</t>
  </si>
  <si>
    <t>변압기·계통연계</t>
  </si>
  <si>
    <t>IEEE C57.91 기준, 최고점 110°C 연속 운전 시 정상 절연수명 20.55년(보수적 기준) [21]</t>
  </si>
  <si>
    <t>과부하·고온 시 수명 소모 가속 [21]</t>
  </si>
  <si>
    <t>유면·최고온도 연 1회, 절연유 분석 연 1회(모범사례), 보호 파라미터·기능점검 3~5년(계통코드), 전력량계 교정 3년(현지 규정) [9]. 전기사업용 신재생 변전소 정기검사 4년 이내 [31]</t>
  </si>
  <si>
    <t>[9][21][31]</t>
  </si>
  <si>
    <t>기상센서(일사계·모듈온도)</t>
  </si>
  <si>
    <t>교정 주기로 관리</t>
  </si>
  <si>
    <t>센서가 오염되거나 교정이 틀어지면 위성 일사보다 부정확 [8]</t>
  </si>
  <si>
    <t>IEC 61724-1 Class A: 일사계 교정 2년 1회, 세척 주 1회, 전면 센서 점검 주 1회, 전체 시스템 점검 연 1회, 모듈온도 스테이션당 3개 [13]. 일사계 재교정 2년 [9]. 일사계·데이터로거 상태는 매일 확인 권장 [8]</t>
  </si>
  <si>
    <t>[8][9][13]</t>
  </si>
  <si>
    <t>셀·모듈·랙</t>
  </si>
  <si>
    <t>캘린더 수명 LFP 16년, NMC 13년 [25]. 보증 예: 10~15년 또는 80% DOD 10,000사이클 [25]. ATB 가정: 15년(보강비 포함), 하루 1사이클, RTE 85% [17]</t>
  </si>
  <si>
    <t>LFP가 정격의 60%(PNNL 수명말 정의)에 이르는 사이클(DOD): 4,800(100%), 6,000(80%), 8,000(60%), 32,000(30%). 완전사이클 환산은 60%까지 4,800으로 같고, 30%에서 9,600 [25]. 캘린더 열화는 온도에 강하게, SOC에 약하게 의존 [28]. 제조사 사양 안에서도 조건에 따라 80% 도달 시간이 수천 시간 차이 [29]</t>
  </si>
  <si>
    <t>교체 기준 예: 초기 용량의 70% [8]. 보강·교체 시점은 DOD 기준 사이클 수명과 캘린더 수명 중 짧은 쪽 [25]. 용량시험은 조건 기반 [8]</t>
  </si>
  <si>
    <t>[8][17][25][28][29]</t>
  </si>
  <si>
    <t>BMS·제어</t>
  </si>
  <si>
    <t>추정(플랜트 수명 동안 펌웨어 관리)</t>
  </si>
  <si>
    <t>원인이 분류된 ESS 사고 26건 중 셀 직접 원인은 3건(11%) [27]. 국내 화재 조사에서 절연성능 급락이 먼저 나타남 [30]</t>
  </si>
  <si>
    <t>충전율 제한 옥내 80%·옥외 90%, 운영데이터 블랙박스 권고 [30]</t>
  </si>
  <si>
    <t>[27][30]</t>
  </si>
  <si>
    <t>ESS PCS</t>
  </si>
  <si>
    <t>전력설비 대정비 10년마다(전력설비 비용의 30%) [25]</t>
  </si>
  <si>
    <t>인버터 계열 부품 열화는 A-1 준용(추정)</t>
  </si>
  <si>
    <t>연간 소정비(점검·필터 교체·정렬) [25]</t>
  </si>
  <si>
    <t>[25]</t>
  </si>
  <si>
    <t>공조(HVAC)·환기</t>
  </si>
  <si>
    <t>추정</t>
  </si>
  <si>
    <t>공조 성능 저하가 셀 온도 상승으로 이어짐(추정)</t>
  </si>
  <si>
    <t>필터 교체·기능점검 연 1회(제조사 권고) [9]. 환기·필터는 필요 시 교체 [8]</t>
  </si>
  <si>
    <t>[8][9]</t>
  </si>
  <si>
    <t>법정</t>
  </si>
  <si>
    <t>—</t>
  </si>
  <si>
    <t>ESS 전기설비 정기검사: 다중이용 건물 안 설치 또는 1,000 kWh 이상은 1년 이내, 그 외 2년 이내 [31]</t>
  </si>
  <si>
    <t>[31]</t>
  </si>
  <si>
    <t>DOE 2022 현황 40,000 h(4.8 mV/kh = 0.25%/kh), 2026 목표 80,000 h(2.3 mV/kh). 수명말 = 초기 대비 전압 10% 상승 [32]. IRENA PEM 50,000~80,000 h(2020) → 100,000~120,000 h(2050 목표) [33]. EPRI 60,000~80,000 h(연속운전 7~10년) [34]. PNNL 가정 60,000 h마다 교체 [25]</t>
  </si>
  <si>
    <t>EPRI: PEM 기저부하 1~1.5%/년, 알칼라인 약 1%/년 [34]. Clean Hydrogen JU PEM: 0.19(2020) → 0.15(2024) → 0.12%/1,000 h(2030) [35]. 열화 평가에는 정상·동적·온오프 운전을 포함해야 함 [32]</t>
  </si>
  <si>
    <t>스택 교체비는 시스템 CAPEX의 35~45% [34]. 초기 활성화 구간은 최소 1,000 h 이후부터 성능 기준점을 잡음 [38]</t>
  </si>
  <si>
    <t>[25][32][33][34][35][38]</t>
  </si>
  <si>
    <t>수명 공개자료 미확인. PNNL은 수소 설비 주변기기(BOP)를 15년마다 교체 가정 [25]</t>
  </si>
  <si>
    <t>효율이 저부하에서 낮고 15~20% 부하까지 급상승 [33]</t>
  </si>
  <si>
    <t>팬·필터·커패시터는 인버터 준용(추정)</t>
  </si>
  <si>
    <t>[25][33]</t>
  </si>
  <si>
    <t>순수(DI)설비</t>
  </si>
  <si>
    <t>ASTM Type II 급수 필요 [33]</t>
  </si>
  <si>
    <t>물 오염이 PEM 스택 고장의 주원인 [33]. Proton Onsite 6년 실적에서 셀 신뢰성 이슈의 81%가 고객측 오염(주로 물) [34]</t>
  </si>
  <si>
    <t>이온교환수지·필터 교체는 전도도 기반 조건부(주기 수치는 제조사 매뉴얼 필요, 추정)</t>
  </si>
  <si>
    <t>[33][34]</t>
  </si>
  <si>
    <t>기액분리·탈산소·건조</t>
  </si>
  <si>
    <t>온라인 분석기가 없으면 제품 순도를 하루 1회 휴대형으로 확인. 탈산소기·건조기 출구의 산소·수분 감시 [39]</t>
  </si>
  <si>
    <t>비상정지 조건·산소·수분 제거설비 감시 요건 [40]. 촉매·흡착제 교체 주기는 제조사(추정). 참고로 알칼라인 전해액은 1~4년마다 교체 [39]</t>
  </si>
  <si>
    <t>[39][40]</t>
  </si>
  <si>
    <t>냉각계통</t>
  </si>
  <si>
    <t>운전점검 주기는 일일~분기~연간, 과거 운전값과 비교 권고 [39]</t>
  </si>
  <si>
    <t>[39]</t>
  </si>
  <si>
    <t>자동차단밸브</t>
  </si>
  <si>
    <t>개폐 내구 250,000회 또는 제조자 제시값 [40]</t>
  </si>
  <si>
    <t>개폐횟수 자동 기록, 제조자 값의 85% 초과 시 경보, 90% 초과 시 기동금지 [40]</t>
  </si>
  <si>
    <t>[40]</t>
  </si>
  <si>
    <t>고객 보고로 오일 교환 외 무교체 10,000~40,000 h, 정비 4~8 h(제조사 자료) [47]. 다이어프램 파단이 가장 흔한 고장 [48]. 충전소 정비 4,663건 중 69%가 비계획이고, 디스펜서·압축기·칠러가 78% [46]</t>
  </si>
  <si>
    <t>다이어프램·밸브·링 교체 주기는 제조사 매뉴얼(공개 대표값 미확인, 추정). 압축기 최종단 안전밸브 조정 연 1회 이상, 그 밖 안전밸브 2년 1회 이상 [45]</t>
  </si>
  <si>
    <t>[45][46][47][48]</t>
  </si>
  <si>
    <t>고압 저장용기</t>
  </si>
  <si>
    <t>복합재료용기는 제조검사 후 15년에 폐기 [44]</t>
  </si>
  <si>
    <t>이음매 없는 용기·복합재료용기 재검사: 500 L 이상 5년마다, 500 L 미만은 10년 이하 5년·초과 3년마다. 저장탱크 5년, 압력용기 4년마다 [44]. 저장능력 100 m³ 이상 저장설비 침하 측정 연 1회 이상 [41]</t>
  </si>
  <si>
    <t>[41][44]</t>
  </si>
  <si>
    <t>밸브·압력계</t>
  </si>
  <si>
    <t>충전용 주관 압력계 매월, 그 밖 압력계 연 1회 기능검사 [45]. 저장탱크 부착 안전밸브·긴급차단장치는 탱크 재검사 때마다 [44]</t>
  </si>
  <si>
    <t>[44][45]</t>
  </si>
  <si>
    <t>가스검지기</t>
  </si>
  <si>
    <t>DOE 목표 센서 수명 10년. 교정 부담이 도입 장벽이며 5년 이상 무교정이 이상적 [49]</t>
  </si>
  <si>
    <t>운전 중 하루 1회 이상 가스누출 경보장치 상태 점검 [41]. 교정 주기는 제조사 기준(통상 3~12개월, 추정)</t>
  </si>
  <si>
    <t>[41][49]</t>
  </si>
  <si>
    <t>DOE 정치형 CHP 1~25 kW: 60,000 h(순출력 20% 초과 저하까지), 100 kW~3 MW: 80,000 h(10% 초과 저하까지), 가용률 99% [50]. IEA AFC: PEMFC 60,000~80,000 h, 1%/년, 마이크로 CHP 스택 내구 40,000 → 80,000 h [51]. PNNL 가정 40,000 h마다 교체 [25]. EPA: 스택 교체 5~10년 [52]</t>
  </si>
  <si>
    <t>DOE 1~25 kW 사이클 운전 열화 목표 0.3%/1,000 h(2020) [50]. Clean Hydrogen JU 소형(5 kWe 미만) 정치형: 0.4%/1,000 h(2020) → 0.2(2030), 가용률 97~98% [35]</t>
  </si>
  <si>
    <t>수명 저하 기여: 차량용 연구 기준 부하변동 약 57%·기동정지 약 33%(Pei 2008, 2차 인용, 정치형은 재산정) [53]. 개방회로전압(OCV) 유지·유휴는 막 열화를 가속 [56]</t>
  </si>
  <si>
    <t>[25][35][50][51][52][53][56]</t>
  </si>
  <si>
    <t>공기 블로워·필터·가습기</t>
  </si>
  <si>
    <t>공기·연료 필터, 수처리 베드 등은 2,000~4,000 h 간격 교체 예상(연료전지 CHP 일반) [52]</t>
  </si>
  <si>
    <t>[52]</t>
  </si>
  <si>
    <t>수소 재순환·퍼지·냉각(DI)</t>
  </si>
  <si>
    <t>냉각수 전도도 기반 DI 필터 교체(추정). 원격감시·예지보전 포함 정비가 초기 상용기 관행 [52]</t>
  </si>
  <si>
    <t>연료전지 인버터</t>
  </si>
  <si>
    <t>PV 인버터 신뢰성 준용(추정) [12][18]</t>
  </si>
  <si>
    <t>A-1 준용</t>
  </si>
  <si>
    <t>[12][18]</t>
  </si>
  <si>
    <t>국내 법정 점검·검사 주기</t>
  </si>
  <si>
    <t>인허가 유형(고압가스 제조·저장·사용, 수소법)은 압력·저장능력·사업형태에 따라 달라지므로 한국가스안전공사 기술검토로 확정해야 합니다.</t>
  </si>
  <si>
    <t>대상</t>
  </si>
  <si>
    <t>주기</t>
  </si>
  <si>
    <t>비고</t>
  </si>
  <si>
    <t>태양광·전기설비 계통(전기사업용)</t>
  </si>
  <si>
    <t>4년 이내</t>
  </si>
  <si>
    <t>농지·임야·염전·공유수면에 설치한 태양광 부지·구조물은 2년 이내</t>
  </si>
  <si>
    <t>연료전지·전기설비 계통</t>
  </si>
  <si>
    <t>발전설비 검사는 가동정지 기간에 실시</t>
  </si>
  <si>
    <t>전기저장장치(ESS)</t>
  </si>
  <si>
    <t>1년 이내(1,000 kWh 이상 또는 다중이용 건물) / 2년 이내(그 외)</t>
  </si>
  <si>
    <t>신재생 발전사업용 송전선로·변전소</t>
  </si>
  <si>
    <t>수소연료사용시설(연료전지 설치·사용)</t>
  </si>
  <si>
    <t>매 1년 전후 30일(다중이용시설 6개월)</t>
  </si>
  <si>
    <t>수소법 시행령 제50조</t>
  </si>
  <si>
    <t>[42]</t>
  </si>
  <si>
    <t>수소연료사용시설 자체점검</t>
  </si>
  <si>
    <t>일일점검 1일 1회, 물분무장치 월 1회</t>
  </si>
  <si>
    <t>점검기록을 검토해 열화 경향을 파악하고 다음 보수계획·설비개선에 활용</t>
  </si>
  <si>
    <t>[41]</t>
  </si>
  <si>
    <t>가연성가스(수소) 제조·저장자(특정제조 외)</t>
  </si>
  <si>
    <t>매 1년 전후 15일</t>
  </si>
  <si>
    <t>특정제조자는 4년</t>
  </si>
  <si>
    <t>[43]</t>
  </si>
  <si>
    <t>안전밸브·압력계</t>
  </si>
  <si>
    <t>최종단 1년 / 기타 2년, 압력계 월·연</t>
  </si>
  <si>
    <t>A-4 참조</t>
  </si>
  <si>
    <t>[45]</t>
  </si>
  <si>
    <t>용기·특정설비 재검사</t>
  </si>
  <si>
    <t>3~5년, 압력용기 4년</t>
  </si>
  <si>
    <t>복합재료용기 15년 폐기</t>
  </si>
  <si>
    <t>[44]</t>
  </si>
  <si>
    <t>월간·분기·연간 AI 분석으로 판정 가능한 항목</t>
  </si>
  <si>
    <t>●=해당 주기 리포트에서 판정. 월은 이상·손실, 분기는 추세(잠정), 연간·YoY는 열화율·수명(확정). 최소 데이터 기간 미달이면 리포트에 '판정 보류'로 표기합니다. 분야 ‘감압·버퍼’·‘폐열회수’·‘부산물 산소’ 3행은 가평 P&amp;ID를 받아 실제로 만든 탐지기이며, 리포트 문장은 구현된 탐지기의 출력 형식입니다.</t>
  </si>
  <si>
    <t>분석 항목</t>
  </si>
  <si>
    <t>무엇을 보나(데이터)</t>
  </si>
  <si>
    <t>월</t>
  </si>
  <si>
    <t>연</t>
  </si>
  <si>
    <t>주기 상세</t>
  </si>
  <si>
    <t>최소 데이터 기간·해상도</t>
  </si>
  <si>
    <t>리포트 문장 예시</t>
  </si>
  <si>
    <t>플랜트</t>
  </si>
  <si>
    <t>발전량 대 기대치(EPI)</t>
  </si>
  <si>
    <t>거래계량 kWh, 경사면 일사, 모듈온도, 위성 일사, 설비 모델</t>
  </si>
  <si>
    <t>●</t>
  </si>
  <si>
    <t>월(연간 누적)</t>
  </si>
  <si>
    <t>1개월, 15분 이하</t>
  </si>
  <si>
    <t>"8월 발전량은 기상보정 기대치의 96.1%(−3.9%p). 이 중 출력제어 2.1%p, INV-03 트립 1.2%p."</t>
  </si>
  <si>
    <t>[9][10][11]</t>
  </si>
  <si>
    <t>PR·온도보정 PR</t>
  </si>
  <si>
    <t>발전량, 경사면 일사, 셀온도</t>
  </si>
  <si>
    <t>월(온도보정 PR은 2주~1개월), 연간 PR은 연</t>
  </si>
  <si>
    <t>"온도보정 PR 0.842로 전년 동월 대비 −1.3%p. 동일 일사 구간 비교상 오염 영향 추정."</t>
  </si>
  <si>
    <t>[8][10]</t>
  </si>
  <si>
    <t>플랜트·인버터</t>
  </si>
  <si>
    <t>가용률(시간·에너지, 계약)</t>
  </si>
  <si>
    <t>인버터 출력 0 구간, 계량-인버터 합 비교, 외부요인 제외</t>
  </si>
  <si>
    <t>월 집계, 연 계약평가</t>
  </si>
  <si>
    <t>첫 6개월은 초기 저가용률 구간으로 분리</t>
  </si>
  <si>
    <t>"에너지 가용률 99.2%(외부요인 제외). INV-07이 1.4%p 기여, 1% 기준 초과로 중간보고 대상."</t>
  </si>
  <si>
    <t>[3][8][10][11]</t>
  </si>
  <si>
    <t>인버터</t>
  </si>
  <si>
    <t>트립·알람 통계, 고장간격</t>
  </si>
  <si>
    <t>이벤트 로그, 코드별 건수·지속시간·손실</t>
  </si>
  <si>
    <t>월(건수·손실), 분기(반복 패턴), 연(고장간격·교체 적립금)</t>
  </si>
  <si>
    <t>이벤트 원자료 + 1분 출력</t>
  </si>
  <si>
    <t>"3분기 INV-02 계통과전압 트립 14회(전분기 3회). 모두 11~13시, 연계점 전압 상승과 동시 발생."</t>
  </si>
  <si>
    <t>[8][11][19]</t>
  </si>
  <si>
    <t>효율·방열판-외기 온도차·팬·필터</t>
  </si>
  <si>
    <t>DC/AC 전력, 방열판 온도, 외기, 부하율 구간</t>
  </si>
  <si>
    <t>분기(계절 보정), 연</t>
  </si>
  <si>
    <t>동일 부하·외기 구간 3개월, 1~15분</t>
  </si>
  <si>
    <t>"동일 부하·외기 구간에서 방열판 온도차가 +6°C. 필터 막힘 의심, 커패시터 수명 영향 있어 청소 권고."</t>
  </si>
  <si>
    <t>[9][20]</t>
  </si>
  <si>
    <t>클리핑 손실</t>
  </si>
  <si>
    <t>출력 상한 체류시간, DC 가용전력 추정</t>
  </si>
  <si>
    <t>월(손실), 연(설계 검토)</t>
  </si>
  <si>
    <t>1분 이하 권장(15분은 과소평가 가능, 추정)</t>
  </si>
  <si>
    <t>"5월 클리핑 추정 손실 1.8 MWh(0.4%)."</t>
  </si>
  <si>
    <t>[14] 추정</t>
  </si>
  <si>
    <t>모듈·어레이</t>
  </si>
  <si>
    <t>오염 손실·세척 판단</t>
  </si>
  <si>
    <t>일간 성능지수, 강수량, 미세먼지·황사</t>
  </si>
  <si>
    <t>월(건조구간 추세·세척 알림), 분기~연(세척 최적화)</t>
  </si>
  <si>
    <t>14일 이상 무세척 구간, 일 집계, 다년 권장</t>
  </si>
  <si>
    <t>"4월 황사 이후 오염률 −0.12%/일, 누적 손실 2.6% 추정. 세척비 대비 회수기간 9일로 세척 권고."</t>
  </si>
  <si>
    <t>[5][6][8][22]</t>
  </si>
  <si>
    <t>스트링 전류 불균형(개방·다이오드·PID 초기)</t>
  </si>
  <si>
    <t>동일 MPPT 내 스트링 전류 비, 모듈온도 보정 전압</t>
  </si>
  <si>
    <t>월(동종 비교), 반복 시 분기</t>
  </si>
  <si>
    <t>스트링·MPPT 1~15분, 청천일 수일</t>
  </si>
  <si>
    <t>"CB-05 스트링 12의 전류가 동종 중앙값의 67%로 3주 지속. 개방·커넥터 점검 요망."</t>
  </si>
  <si>
    <t>[9] 방법은 추정</t>
  </si>
  <si>
    <t>모듈·시스템</t>
  </si>
  <si>
    <t>열화율(성능저하율·YoY)</t>
  </si>
  <si>
    <t>일 집계 정규화 발전량(오염·가용률 보정)</t>
  </si>
  <si>
    <t>24개월 이상(신뢰 3~5년)</t>
  </si>
  <si>
    <t>"2년차 YoY 열화율 −0.62%/년(68% 신뢰구간 −0.41~−0.83). 보증 선형 −0.4%/년 초과 여부는 1년 추가 관측 필요."</t>
  </si>
  <si>
    <t>[3][4][5][15]</t>
  </si>
  <si>
    <t>어레이</t>
  </si>
  <si>
    <t>음영(수목 성장 등)</t>
  </si>
  <si>
    <t>태양위치별 잔차 히트맵</t>
  </si>
  <si>
    <t>분기~연</t>
  </si>
  <si>
    <t>1년(태양 궤적 1주기)</t>
  </si>
  <si>
    <t>"12~1월 15시대 잔차가 전년 대비 확대. 서측 수목 성장 추정."</t>
  </si>
  <si>
    <t>[8] 추정</t>
  </si>
  <si>
    <t>계통</t>
  </si>
  <si>
    <t>출력제어 손실 분리</t>
  </si>
  <si>
    <t>출력제어 지시 기록, 제약 구간 발전량</t>
  </si>
  <si>
    <t>이벤트 단위</t>
  </si>
  <si>
    <t>"출력제어 4회로 추정 손실 3.1 MWh. 설비 손실에서 제외."</t>
  </si>
  <si>
    <t>[23]</t>
  </si>
  <si>
    <t>일사계 드리프트</t>
  </si>
  <si>
    <t>현장 일사 대 위성·인접 발전소 비율</t>
  </si>
  <si>
    <t>청천일 다수</t>
  </si>
  <si>
    <t>"POA/위성 비율이 3개월간 −4% 하향. 세척·재교정 필요(교정 만료 D−45)."</t>
  </si>
  <si>
    <t>유온·부하율, 절연유 분석</t>
  </si>
  <si>
    <t>유온·권선온도, 부하, 외기 / 절연유 분석 결과</t>
  </si>
  <si>
    <t>월(온도 추세), 연(절연유 분석)</t>
  </si>
  <si>
    <t>계절 1주기</t>
  </si>
  <si>
    <t>"동일 부하·외기에서 유온 +4°C. 냉각팬 점검. 연간 절연유 분석 결과 반영."</t>
  </si>
  <si>
    <t>[9][21]</t>
  </si>
  <si>
    <t>RTE(AC 기준, 보조전력 포함·제외)</t>
  </si>
  <si>
    <t>충전·방전 kWh, 시작·종료 SOC</t>
  </si>
  <si>
    <t>완전 충방전 1회 이상 + 시작·종료 SOC [26], 1~15분</t>
  </si>
  <si>
    <t>"월평균 RTE 86.1%(정격 88%). 공조 보조전력 증가가 1.2%p 기여."</t>
  </si>
  <si>
    <t>[17][26]</t>
  </si>
  <si>
    <t>랙·뱅크</t>
  </si>
  <si>
    <t>실증 용량·용량비</t>
  </si>
  <si>
    <t>동일 전류·온도·SOC 기준점 세션의 방전량</t>
  </si>
  <si>
    <t>분기(추세), 연(보증 대비)</t>
  </si>
  <si>
    <t>조건 맞는 세션 다수, 1~10초 권장(추정)</t>
  </si>
  <si>
    <t>"동일 조건 세션 기준 용량 94.8%(연초 97.1%). 연환산 −3.1%p로 보증곡선 이내."</t>
  </si>
  <si>
    <t>[25][26]</t>
  </si>
  <si>
    <t>수명(SOH)·보강 시점 예측·급락점</t>
  </si>
  <si>
    <t>용량 추세, 누적 완전사이클, 온도 이력</t>
  </si>
  <si>
    <t>분기(추세), 연(보강·교체 계획)</t>
  </si>
  <si>
    <t>6~12개월, 급락점 탐지는 다년</t>
  </si>
  <si>
    <t>"현 추세면 정격 80% 도달은 2034년 추정. 보강 예산 반영 권고."</t>
  </si>
  <si>
    <t>[25][29]</t>
  </si>
  <si>
    <t>셀·모듈</t>
  </si>
  <si>
    <t>셀 전압 편차·최저셀</t>
  </si>
  <si>
    <t>충전 종료·휴지 시 최대·최소 셀 전압, 위치</t>
  </si>
  <si>
    <t>월(이상), 분기(추세)</t>
  </si>
  <si>
    <t>동일 조건 스냅샷</t>
  </si>
  <si>
    <t>"Rack-3 Module-11 편차가 휴지 조건에서 2개월 연속 증가. 균형 불량·미세단락 의심."</t>
  </si>
  <si>
    <t>[8]; 판정 임계는 추정</t>
  </si>
  <si>
    <t>셀·공조</t>
  </si>
  <si>
    <t>온도 이력(최고·편차·고온 체류)</t>
  </si>
  <si>
    <t>셀 최고·최저 온도, 실내온도, 공조 상태</t>
  </si>
  <si>
    <t>1분 이하</t>
  </si>
  <si>
    <t>"셀 32°C 초과 체류 41 h(전년 동월 12 h). 공조 COP 저하 동반."</t>
  </si>
  <si>
    <t>[8][28]</t>
  </si>
  <si>
    <t>운전</t>
  </si>
  <si>
    <t>SOC 운전창 준수</t>
  </si>
  <si>
    <t>SOC 분포, 상한 체류시간</t>
  </si>
  <si>
    <t>"옥외 설비 SOC 90% 한도 초과 0회. 상한 부근 체류 38 h."</t>
  </si>
  <si>
    <t>[30]</t>
  </si>
  <si>
    <t>사이클·DOD 분포</t>
  </si>
  <si>
    <t>레인플로 사이클 수, 완전사이클 누적</t>
  </si>
  <si>
    <t>월 집계, 연(보증 대비)</t>
  </si>
  <si>
    <t>"누적 1,012 완전사이클(보증 대비 10%). 평균 DOD 72%."</t>
  </si>
  <si>
    <t>[8][25]</t>
  </si>
  <si>
    <t>절연저항·BMS 보호동작·경보</t>
  </si>
  <si>
    <t>절연감시 로그, 경보 코드</t>
  </si>
  <si>
    <t>월(초기 2년은 강화)</t>
  </si>
  <si>
    <t>이벤트 원자료</t>
  </si>
  <si>
    <t>"DC 절연저항이 우천 후 회복되지 않음. 화재 전조 패턴 목록 대조."</t>
  </si>
  <si>
    <t>효율·트립</t>
  </si>
  <si>
    <t>DC/AC 전력, 트립 로그</t>
  </si>
  <si>
    <t>월(트립), 분기(효율)</t>
  </si>
  <si>
    <t>부하 구간별</t>
  </si>
  <si>
    <t>"PCS-2 부분부하 효율 −0.8%p. 팬·필터 점검."</t>
  </si>
  <si>
    <t>[25] 추정</t>
  </si>
  <si>
    <t>공조</t>
  </si>
  <si>
    <t>소비전력·가동률·필터</t>
  </si>
  <si>
    <t>공조 kWh, 외기, 발열</t>
  </si>
  <si>
    <t>분기(계절 비교), 연</t>
  </si>
  <si>
    <t>"동일 외기 구간 공조 전력 +15%. 필터 교체(연 1회) 조기 시행 권고."</t>
  </si>
  <si>
    <t>[9][25]</t>
  </si>
  <si>
    <t>시스템·스택</t>
  </si>
  <si>
    <t>비소비전력(kWh/kg, 스택·시스템 분리)</t>
  </si>
  <si>
    <t>직류·교류 전력, 수소 유량, 부하 구간</t>
  </si>
  <si>
    <t>월(부하 구간별), 연(추세)</t>
  </si>
  <si>
    <t>1개월, 1분</t>
  </si>
  <si>
    <t>"30~60% 부하 구간 시스템 54.8 kWh/kg(기준 53.9). 15% 미만 저부하 운전이 18%로 효율 저하 기여."</t>
  </si>
  <si>
    <t>[32][33][40]</t>
  </si>
  <si>
    <t>기준조건 셀 평균전압 추세(µV/h)</t>
  </si>
  <si>
    <t>전류밀도·온도·압력 구간별 셀전압 중앙값</t>
  </si>
  <si>
    <t>분기(추세 감시), 반기~연(열화율 확정)</t>
  </si>
  <si>
    <t>초기 1,000 h 이후 1,000 h 이상 운전</t>
  </si>
  <si>
    <t>"누적 3,100 h 기준 열화율 3.9 µV/h(DOE 2022 현황 4.8 이하). 확정은 누적 5,000 h 이후."</t>
  </si>
  <si>
    <t>[32][37][38]</t>
  </si>
  <si>
    <t>셀 간 편차·약한 셀</t>
  </si>
  <si>
    <t>셀전압 감시장치(CVM) 셀·그룹 전압 z-score</t>
  </si>
  <si>
    <t>"셀그룹 G17이 3개월 연속 +3σ. 막·다공성 수송층 국부 열화 의심."</t>
  </si>
  <si>
    <t>[37] 방법은 추정</t>
  </si>
  <si>
    <t>운전시간·기동정지·OCV 대기시간·램프</t>
  </si>
  <si>
    <t>운전상태 이벤트, 무전류 대기시간</t>
  </si>
  <si>
    <t>"기동정지 62회(전월 41). 무보호 OCV 대기 118 h. 보호전류 대기 운전 검토."</t>
  </si>
  <si>
    <t>[34][36]</t>
  </si>
  <si>
    <t>가용률(스택·시스템)</t>
  </si>
  <si>
    <t>운전 요구시간 대비 운전시간</t>
  </si>
  <si>
    <t>월, 연</t>
  </si>
  <si>
    <t>"요구 312 h 중 298 h 운전(가용률 95.5%). 순수 설비 경보 정지 14 h."</t>
  </si>
  <si>
    <t>[37]</t>
  </si>
  <si>
    <t>순도(수소 중 산소, 이슬점), 산소 중 수소</t>
  </si>
  <si>
    <t>분석기 값, 탈산소기 온도상승</t>
  </si>
  <si>
    <t>월(추세), 일(경보)</t>
  </si>
  <si>
    <t>분석기 원자료</t>
  </si>
  <si>
    <t>"이슬점 3개월 상승 추세. 건조기 재생 성능 점검."</t>
  </si>
  <si>
    <t>순수설비</t>
  </si>
  <si>
    <t>전도도·수지 처리량</t>
  </si>
  <si>
    <t>급수·순환수 전도도, 수지 교체 간 처리량</t>
  </si>
  <si>
    <t>교체 이벤트 포함</t>
  </si>
  <si>
    <t>"수지 교체 간 처리량 −30%. 원수 수질 변화 또는 루프 금속 용출 의심."</t>
  </si>
  <si>
    <t>효율·온도</t>
  </si>
  <si>
    <t>교류/직류 전력비, 방열 온도</t>
  </si>
  <si>
    <t>"동일 부하에서 정류 손실 +0.6%p."</t>
  </si>
  <si>
    <t>[33] 추정</t>
  </si>
  <si>
    <t>밸브</t>
  </si>
  <si>
    <t>자동차단밸브 개폐횟수</t>
  </si>
  <si>
    <t>누적 개폐횟수 대비 제조자 한도</t>
  </si>
  <si>
    <t>카운터</t>
  </si>
  <si>
    <t>"V-101 개폐 한도 대비 78%. 85% 경보 도달 예상 5개월 후."</t>
  </si>
  <si>
    <t>잔여수명·교체 시점</t>
  </si>
  <si>
    <t>열화율, 운전시간 예측, 수명말 기준(+10% 전압)</t>
  </si>
  <si>
    <t>1년 이상</t>
  </si>
  <si>
    <t>"현 열화율·운전 패턴 유지 시 수명말 도달 2035년(추정). 교체비는 CAPEX의 35~45% 수준."</t>
  </si>
  <si>
    <t>[32][34]</t>
  </si>
  <si>
    <t>비소비전력(kWh/kg)·체적효율 지수</t>
  </si>
  <si>
    <t>전력, 유량, 흡입·토출 압력·온도</t>
  </si>
  <si>
    <t>월(압력비 구간별)</t>
  </si>
  <si>
    <t>1분, 기준점 수백 h(추정)</t>
  </si>
  <si>
    <t>"동일 압력비에서 kWh/kg +7%. 내부 누설 의심."</t>
  </si>
  <si>
    <t>[46] 방법은 추정</t>
  </si>
  <si>
    <t>단별 토출온도·단간 압력비</t>
  </si>
  <si>
    <t>단별 온도·압력</t>
  </si>
  <si>
    <t>"2단 토출온도가 기대치 대비 +12°C. 2단 밸브 누설 의심."</t>
  </si>
  <si>
    <t>다이어프램 상태</t>
  </si>
  <si>
    <t>동적 오일압, 오일 온도</t>
  </si>
  <si>
    <t>월(추세), 이상은 즉시</t>
  </si>
  <si>
    <t>오일압은 현장에서 요약값 산출</t>
  </si>
  <si>
    <t>"오일압 파형 지표 기준 대비 이탈 증가. 다이어프램 점검 앞당김 권고."</t>
  </si>
  <si>
    <t>[48]</t>
  </si>
  <si>
    <t>정비 이력·비계획 비율·고장간격</t>
  </si>
  <si>
    <t>작업지시(CMMS) 이벤트</t>
  </si>
  <si>
    <t>분기, 연</t>
  </si>
  <si>
    <t>이벤트 누적</t>
  </si>
  <si>
    <t>"분기 정비 9건 중 비계획 6건(67%). 밸브 계열 반복."</t>
  </si>
  <si>
    <t>[46]</t>
  </si>
  <si>
    <t>무유동 시 온도보정 질량 감소(누설)</t>
  </si>
  <si>
    <t>압력, 가스·표면 온도, 차단밸브 상태</t>
  </si>
  <si>
    <t>무유동·온도안정 구간 여러 번</t>
  </si>
  <si>
    <t>"무유동 구간 질량 감소가 계측 불확도 이내로 누설 판정 불가. 3회 누적 추세 감시."</t>
  </si>
  <si>
    <t>저장·밸브</t>
  </si>
  <si>
    <t>법정 기한</t>
  </si>
  <si>
    <t>재검사·안전밸브 조정·압력계 검사 기한</t>
  </si>
  <si>
    <t>월(기한 알림), 연(계획)</t>
  </si>
  <si>
    <t>"압력용기 재검사 D−120. 최종단 안전밸브 조정 D−30."</t>
  </si>
  <si>
    <t>검지기</t>
  </si>
  <si>
    <t>배경값 드리프트·교정 기한·경보</t>
  </si>
  <si>
    <t>검지기 값, 교정 이력, 경보 건수</t>
  </si>
  <si>
    <t>"GD-04 배경값이 동일 구역 대비 +40 ppm으로 드리프트. 교정 기한 D−10."</t>
  </si>
  <si>
    <t>기준전류 셀 평균전압 추세</t>
  </si>
  <si>
    <t>전류밀도·온도·공기량비 구간별 셀전압</t>
  </si>
  <si>
    <t>분기(추세), 연(열화율·잔여수명)</t>
  </si>
  <si>
    <t>1,000~2,000 h 이상(계산 근거)</t>
  </si>
  <si>
    <t>"누적 4,200 h, 기준전류 전압 −0.21%/1,000 h. DOE 대형 CHP 수명 기준(80,000 h/10%) 대비 빠른 편."</t>
  </si>
  <si>
    <t>[35][50]</t>
  </si>
  <si>
    <t>전기효율(LHV)·수소원단위(kg/MWh)</t>
  </si>
  <si>
    <t>순교류 발전량, 수소 소비량</t>
  </si>
  <si>
    <t>1개월</t>
  </si>
  <si>
    <t>"평균 효율 47.2%, 수소원단위 63.6 kg/MWh. 저부하 운전 비중 증가로 −1.1%p."</t>
  </si>
  <si>
    <t>[50][54]</t>
  </si>
  <si>
    <t>기동정지·부하변동·저부하·OCV 체류</t>
  </si>
  <si>
    <t>이벤트, 부하 변화율, 무부하 시간</t>
  </si>
  <si>
    <t>"기동정지 48회, 부하 급변 312회. 열화 기여가 큰 운전(부하변동·기동정지) 비중 경고."</t>
  </si>
  <si>
    <t>[53][56]</t>
  </si>
  <si>
    <t>정지 간 평균 운전시간·가용률</t>
  </si>
  <si>
    <t>정지 로그, 요구시간</t>
  </si>
  <si>
    <t>월·연</t>
  </si>
  <si>
    <t>"정지 간 평균 운전시간 212 h(전분기 340 h). 퍼지 밸브 관련 정지 반복."</t>
  </si>
  <si>
    <t>최저셀·셀 편차</t>
  </si>
  <si>
    <t>셀전압 감시값</t>
  </si>
  <si>
    <t>스냅샷</t>
  </si>
  <si>
    <t>"최저셀 알람 7회, 동일 셀 반복. 막·전극 접합체 결함 의심."</t>
  </si>
  <si>
    <t>공기계통</t>
  </si>
  <si>
    <t>필터 차압·블로워 전력</t>
  </si>
  <si>
    <t>차압, 블로워 kW·유량</t>
  </si>
  <si>
    <t>월~분기</t>
  </si>
  <si>
    <t>"필터 차압 상승. 2,000~4,000 h 교체 창에 도달."</t>
  </si>
  <si>
    <t>냉각수 전도도·DI 필터</t>
  </si>
  <si>
    <t>전도도, 교체 이력</t>
  </si>
  <si>
    <t>"전도도 상승 속도 2배. DI 필터 교체 앞당김."</t>
  </si>
  <si>
    <t>[52] 추정</t>
  </si>
  <si>
    <t>감압밸브 PRV</t>
  </si>
  <si>
    <t>감압밸브 시트 누설(락업 크리프)</t>
  </si>
  <si>
    <t>연료전지 정지·무유동 구간의 하류 압력 기울기[mbar/h]와 압력 설정값·상류 압력·외기온도</t>
  </si>
  <si>
    <t>월간(무유동 hold 구간이 3회 이상 잡힐 때)</t>
  </si>
  <si>
    <t>21일 이상 · 하류 압력 60초 이하</t>
  </si>
  <si>
    <t>하류 압력이 무유동 구간에서 26 mbar/h로 오르고 있습니다(예시). 3회 연속 확인되어 조정기 점검을 요청합니다. 공급압 효과(버퍼 압력 하강에 따른 설정압 상승)는 구간 전·후반 기울기 비교로 배제했습니다.</t>
  </si>
  <si>
    <t>가평 P&amp;ID</t>
  </si>
  <si>
    <t>열교환기 HX-301</t>
  </si>
  <si>
    <t>폐열회수 열교환기 성능 저하</t>
  </si>
  <si>
    <t>1·2차측 입출구 온도 4점으로 낸 UA와 접근온도, 양측 유량·차압(있으면)</t>
  </si>
  <si>
    <t>월간 이상 · 분기 추세(잠정)</t>
  </si>
  <si>
    <t>21일 이상(기준 14일, 세정 직후 권장) · 온도 60초 이하</t>
  </si>
  <si>
    <t>접근온도가 기준 대비 +3.4 K 올랐고 1차측 차압은 그대로입니다(예시). 스케일·막힘보다 표면 막 또는 유량 저하 쪽입니다. 1차측 유량계가 없어 UA 대신 접근온도로 판정했습니다.</t>
  </si>
  <si>
    <t>산소 중 수소(HTO) 상승</t>
  </si>
  <si>
    <t>애노드 원가스 산소 중 수소 농도와 전해조 운전 유량·스택 전류, 법정 품질검사 기록</t>
  </si>
  <si>
    <t>월간(전해조 운전 구간만)</t>
  </si>
  <si>
    <t>21일 이상(기준 14일) · 60초 이하</t>
  </si>
  <si>
    <t>산소 중 수소가 0.92 vol%로 법정 압축금지선(2 vol%)까지 1.08 vol%p 남았습니다(예시). 저부하 비중 증가만으로도 오르므로 스택 전류 구간을 맞춰 비교했습니다.</t>
  </si>
  <si>
    <t>정기 분석 리포트 표준 구성</t>
  </si>
  <si>
    <t>월간 리포트가 업계 모범사례 주기이며, 분기는 월간 요약+추세, 연간은 계약 KPI·열화·교체계획을 담습니다. 수시 리포트는 1% 초과 손실·안전 이벤트 등으로 발행합니다.</t>
  </si>
  <si>
    <t>리포트</t>
  </si>
  <si>
    <t>섹션</t>
  </si>
  <si>
    <t>1. 요약</t>
  </si>
  <si>
    <t>발전량·수소 생산·연료전지 발전 대 예산·기대치, 주요 이슈 3개, 조치 요청</t>
  </si>
  <si>
    <t>[11]</t>
  </si>
  <si>
    <t>2. 원자료·데이터 품질</t>
  </si>
  <si>
    <t>일사량, 발전·소비 전력량, 결측·센서 이상 표시, 결측 처리 방법 명시</t>
  </si>
  <si>
    <t>[11][12]</t>
  </si>
  <si>
    <t>3. PV 성능 KPI</t>
  </si>
  <si>
    <t>PR(최소), 온도보정 PR·EPI(모범사례), 기준·비발전량, 인버터별 분해</t>
  </si>
  <si>
    <t>[10][11]</t>
  </si>
  <si>
    <t>4. 가용률</t>
  </si>
  <si>
    <t>기술·계약·에너지 가용률, 외부요인 제외 명시(IEC 61724-3 취지)</t>
  </si>
  <si>
    <t>5. 손실 분해</t>
  </si>
  <si>
    <t>출력제어, 트립·정지, 오염, 클리핑, 온도, 기타 잔차</t>
  </si>
  <si>
    <t>[3][6][23]</t>
  </si>
  <si>
    <t>6. 알람·고장</t>
  </si>
  <si>
    <t>대형 사고·생산영향, 고장간격, 응답·조치·해결 시간</t>
  </si>
  <si>
    <t>7. ESS</t>
  </si>
  <si>
    <t>RTE, 완전사이클·DOD, SOC 창 준수, 온도 이력, 셀 편차 이상, 절연·보호 이벤트</t>
  </si>
  <si>
    <t>[26][27][30]</t>
  </si>
  <si>
    <t>8. 전해조</t>
  </si>
  <si>
    <t>운전시간·기동정지·OCV 대기, 비소비전력(부하 구간별), 가용률, 순도·전도도, 밸브 개폐 누적</t>
  </si>
  <si>
    <t>[32][37][39][40]</t>
  </si>
  <si>
    <t>9. 압축·저장·안전</t>
  </si>
  <si>
    <t>압축기 kWh/kg, 운전·정비, 검지기 드리프트·경보, 누설 판정</t>
  </si>
  <si>
    <t>[41][46]</t>
  </si>
  <si>
    <t>10. 연료전지</t>
  </si>
  <si>
    <t>효율·수소원단위, 기동정지·부하변동, 정지 간 평균 운전시간·가용률</t>
  </si>
  <si>
    <t>[50][53][54]</t>
  </si>
  <si>
    <t>11. 정비 이력</t>
  </si>
  <si>
    <t>예방정비 계획 대비 실행(연간정비계획 편차·사유), 교정정비 내역, 예방:교정 비율(모범 80:20)</t>
  </si>
  <si>
    <t>[9][10]</t>
  </si>
  <si>
    <t>12. 예비품·보증·안전·보안</t>
  </si>
  <si>
    <t>재고·소진, 보증 청구, 환경·보건·안전 사건, 물리·사이버 보안</t>
  </si>
  <si>
    <t>13. 법정 캘린더</t>
  </si>
  <si>
    <t>정기검사·재검사·안전밸브 조정·교정 D-day</t>
  </si>
  <si>
    <t>[31][41][42][43][44][45]</t>
  </si>
  <si>
    <t>14. 권고사항</t>
  </si>
  <si>
    <t>조치, 기대효과, 우선순위(D절 연결)</t>
  </si>
  <si>
    <t>1. 분기 KPI 추세</t>
  </si>
  <si>
    <t>월별 PR·가용률·EPI 비교, 전년 동기 비교(2년차부터)</t>
  </si>
  <si>
    <t>[9][11]</t>
  </si>
  <si>
    <t>2. 추세 진단</t>
  </si>
  <si>
    <t>인버터 효율·냉각, 오염률 계절 패턴, 스트링 반복 불량</t>
  </si>
  <si>
    <t>[6][9]</t>
  </si>
  <si>
    <t>3. ESS 용량 추세</t>
  </si>
  <si>
    <t>실증 용량·용량비 추세, 온도 구간별 비교</t>
  </si>
  <si>
    <t>4. 스택 열화 감시</t>
  </si>
  <si>
    <t>전해조·연료전지 기준조건 전압 추세(잠정), 기동정지·OCV 노출과 상관</t>
  </si>
  <si>
    <t>[32][36][38][53]</t>
  </si>
  <si>
    <t>5. 신뢰성</t>
  </si>
  <si>
    <t>설비별 정비 이벤트, 비계획 비율, 반복 고장 근본원인</t>
  </si>
  <si>
    <t>6. 교정·소모품</t>
  </si>
  <si>
    <t>일사계·검지기 교정 상태, 필터·수지 교체 예측</t>
  </si>
  <si>
    <t>[9][13][49][52]</t>
  </si>
  <si>
    <t>7. 개선과제 진행</t>
  </si>
  <si>
    <t>세척·운전전략 변경의 전후 효과 검증</t>
  </si>
  <si>
    <t>[8][36]</t>
  </si>
  <si>
    <t>1. 연간 계약 KPI 평가</t>
  </si>
  <si>
    <t>연간 PR·가용률(계약 최소 98% 모범사례), 운영연도별 KPI 달성</t>
  </si>
  <si>
    <t>[10][12]</t>
  </si>
  <si>
    <t>2. 열화</t>
  </si>
  <si>
    <t>PV YoY(24개월 이상), ESS 수명·보강 시점, 스택 열화율·잔여수명</t>
  </si>
  <si>
    <t>[3][4][25][32][50]</t>
  </si>
  <si>
    <t>3. 연간 손실 예산</t>
  </si>
  <si>
    <t>오염·세척 최적화, 음영, 출력제어 연간 영향</t>
  </si>
  <si>
    <t>[6][8][23]</t>
  </si>
  <si>
    <t>4. 신뢰성·교체 계획</t>
  </si>
  <si>
    <t>고장간격·Weibull 분석, 인버터·PCS·스택 교체 적립금</t>
  </si>
  <si>
    <t>[8][12][25]</t>
  </si>
  <si>
    <t>5. 연간정비계획 실적·차년도 계획</t>
  </si>
  <si>
    <t>연간정비계획 대비 실적, 법정검사 결과, 차년도 캘린더</t>
  </si>
  <si>
    <t>[9][41]</t>
  </si>
  <si>
    <t>6. 모니터링 체계 점검</t>
  </si>
  <si>
    <t>계측 등급·교정 이력, 데이터 가용률</t>
  </si>
  <si>
    <t>[13]</t>
  </si>
  <si>
    <t>7. 정밀 진단</t>
  </si>
  <si>
    <t>열화상·전기적 점검 결과(반기~연), 절연유 분석</t>
  </si>
  <si>
    <t>[9][24]</t>
  </si>
  <si>
    <t>8. 설비 개선 로드맵</t>
  </si>
  <si>
    <t>D절 과제 평가, 투자 우선순위</t>
  </si>
  <si>
    <t>[8][11]</t>
  </si>
  <si>
    <t>수시</t>
  </si>
  <si>
    <t>한 달 안에 가용률 또는 PR 1% 초과 손실</t>
  </si>
  <si>
    <t>조치 로그, 손실 추정, 설비·진단, 해결계획, 예비품, 비용</t>
  </si>
  <si>
    <t>ESS 절연 급락·BMS 보호 동작</t>
  </si>
  <si>
    <t>사고조사 로그 보존(블랙박스), 조치</t>
  </si>
  <si>
    <t>수소 누출 경보·비상정지</t>
  </si>
  <si>
    <t>비상대응·점검기록, 원인 규명 후 재가동</t>
  </si>
  <si>
    <t>[39][41]</t>
  </si>
  <si>
    <t>AI 분석으로 얻는 결과와 개선 방향</t>
  </si>
  <si>
    <t>성숙도: 기술(현황)→진단(원인)→예측(수명)→처방(최적화). 정량 근거는 원 출처 기준이며 '검증 결과' 시트에서 대조 결과를 확인하세요. 마지막 2행(‘AI 설명’·‘리포트 문장 다듬기’)은 실제로 구현된 LLM 층이며, 수치는 통계 엔진이 만들고 LLM은 문장만 다시 씁니다. 출처 대조에서 반박·미확인으로 판정된 수치는 정정하거나 삭제했습니다.</t>
  </si>
  <si>
    <t>분석</t>
  </si>
  <si>
    <t>답하는 현장 질문</t>
  </si>
  <si>
    <t>입력 데이터</t>
  </si>
  <si>
    <t>방법</t>
  </si>
  <si>
    <t>결과물</t>
  </si>
  <si>
    <t>개선·코칭</t>
  </si>
  <si>
    <t>정량 근거</t>
  </si>
  <si>
    <t>필요 데이터 조건</t>
  </si>
  <si>
    <t>성숙도</t>
  </si>
  <si>
    <t>난이도</t>
  </si>
  <si>
    <t>물리 기반 기대발전량 모델과 손실 분해(워터폴)</t>
  </si>
  <si>
    <t>이 발전소는 정상이라면 얼마를 발전했어야 하고, 부족분은 어디서 생겼나(오염·열화·음영·클리핑·출력제어·정지·기타)?</t>
  </si>
  <si>
    <t>POA·모듈온도·외기온·풍속(또는 위성 일사)
설계 정보(모듈 온도계수, 스트링 구성, 인버터 효율·정격)
AC/DC 전력, 상태코드, 출력제한 설정
강수·세척 기록</t>
  </si>
  <si>
    <t>물리+ML 하이브리드. ① pvlib로 POA → 셀온도(Sandia/PVsyst 모델) → DC 전력(PVWatts 또는 1-다이오드) → 인버터 효율·클리핑을 계산한다. ② 실측과의 잔차에서 모드별 손실을 규칙으로 할당한다(정지=상태코드, 출력제한=설정·동시성, 클리핑=정격 평탄, 오염=SRR 추정분). ③ 설명되지 않는 잔차는 그래디언트 부스팅(LightGBM)으로 보정해 체계적 모델 오차(스펙트럼·저일사·IAM)를 학습하고, 남은 잔차를 '미분류 손실'로 둔다.</t>
  </si>
  <si>
    <t>사이트·인버터별 일/월 에너지 워터폴(기대 kWh → 각 손실 kWh·₩ → 실측 kWh), 미분류 손실 비율, 데이터 품질 등급</t>
  </si>
  <si>
    <t>손실을 원 단위로 정렬해 조치 우선순위를 정하는 코칭 리포트의 뼈대가 된다. '이번 달 3.2%p 손실 중 1.8%p는 3번 인버터 정지, 0.9%p는 오염'처럼 설명하는 문장을 LLM이 생성할 입력이 된다.</t>
  </si>
  <si>
    <t>정량 근거 미확인(방법론 표준화 단계). 참고로 업계 보고서는 설비 기인 손실이 2025년 평균 5.08%라고 보고했다(Raptor Maps 2026, PV Tech). 이 크기의 손실을 분해해 회수하는 것이 목표.</t>
  </si>
  <si>
    <t>1분~15분 해상도, 최소 3개월(계절 보정은 1년 이상). 일사계 교정·청소 기록, 스트링 맵, 모듈 데이터시트 필수. 상태코드와 출력제한 이력이 없으면 손실 분해 신뢰도가 크게 떨어진다.</t>
  </si>
  <si>
    <t>진단(원인)</t>
  </si>
  <si>
    <t>중간</t>
  </si>
  <si>
    <t>비가역 열화율 추정(RdTools YoY)과 기술별·보증 대비 벤치마크</t>
  </si>
  <si>
    <t>모듈이 연간 몇 %씩 늙고 있으며, 보증 곡선과 동일 기술 피어 대비 빠른가?</t>
  </si>
  <si>
    <t>온도·일사 정규화 발전량(일 집계)
위성/청천 모델 일사(센서 드리프트 교차검증)
준공일, 셀 기술, 보증 곡선</t>
  </si>
  <si>
    <t>통계. RdTools 워크플로(정규화 → 필터 → 일 집계 → Year-on-Year 쌍 변화율 분포의 중앙값 → 부트스트랩 신뢰구간)를 쓴다. 센서 기반과 청천(clear-sky) 기반 결과를 교차 비교한다. 오염이 강하면 CODS(열화·오염·계절성 동시 추정)를 적용한다. 사이트 간에는 계층 베이지안으로 기술·기후별 분포를 추정한다.</t>
  </si>
  <si>
    <t>사이트/인버터별 열화율(%/yr) ± 신뢰구간, 보증 대비 초과 여부, 피어 백분위</t>
  </si>
  <si>
    <t>열화가 보증을 넘으면 IV 스캔·EL로 증거를 수집해 보증 청구로 연결한다. PID 의심 시 음극 접지·야간 PID 복구 설정을 적용한다. 리파워링·모듈 교체 시점을 판단하는 입력이 된다.</t>
  </si>
  <si>
    <t>NREL PV Fleet(1,700개 시스템, 7.2GW) 중앙 PLR −0.75%/yr, 서늘한 기후 −0.48, 더운 기후 −0.88%/yr(Jordan et al. 2022). YoY 방식은 센서 드리프트·데이터 이동·오염에도 강건하다(Jordan et al. 2018).</t>
  </si>
  <si>
    <t>최소 2년(권장 3년 이상) 연속 데이터, 일 집계 가능한 해상도(1시간 이상). 일사계 교체·교정 이력, 인버터 교체 이력(단절점).</t>
  </si>
  <si>
    <t>낮음</t>
  </si>
  <si>
    <t>오염 손실 추정과 경제적 세척 최적 시점</t>
  </si>
  <si>
    <t>지금 오염으로 하루 얼마를 잃고 있으며, 언제 세척하면 비용 대비 이익이 최대인가?</t>
  </si>
  <si>
    <t>일 단위 온도보정 PR 또는 기대 대비 실측비
강수량(≥1mm 세정 이벤트)·황사·미세먼지
세척 기록·단가, SMP+REC 단가
발전량 예보(향후 기대 일사)
오염 측정소(있으면)</t>
  </si>
  <si>
    <t>통계+최적화. ① RdTools SRR로 강우 사이 오염률(%/day)과 현재 오염비를 추정한다. ② 향후 오염 누적(계절별 오염률 분포)과 강우 확률(기상예보)을 몬테카를로로 시뮬레이션한다. ③ 기대 손실액 − 세척비가 최대가 되는 세척일을 동적계획법이나 임계 규칙(누적 손실액 ≥ 세척비)으로 산출한다.</t>
  </si>
  <si>
    <t>사이트별 현재 오염 손실(%·₩/일), 권장 세척일과 기대 순이익, 강우 대기 권고 여부</t>
  </si>
  <si>
    <t>일괄 정기 세척을 데이터 기반 선택 세척으로 바꿔 세척비를 줄이고 손실을 회수한다. 황사 직후·장기 무강우 시에만 선택 세척을 권고한다.</t>
  </si>
  <si>
    <t>스페인 1MW 사이트(연 오염 손실 3% 이내 지역)에서도 세척 일정 최적화로 이익이 최대 3.6% 증가했다(Micheli et al., Energy 2021). 전 세계 오염 손실은 2018년 연 발전량의 최소 3~4%, 30~50억 유로로 추정된다(IEA PVPS T13-21:2022).</t>
  </si>
  <si>
    <t>일 집계 PR 1년 이상(계절 오염률), 강수 일자료, 세척 기록 필수(없으면 회복 이벤트를 강우로 오인). 불균일 오염은 드론 가시광/IR로 보완.</t>
  </si>
  <si>
    <t>처방(최적화)</t>
  </si>
  <si>
    <t>스트링·인버터 고장 자동 분류(규칙 + 지도학습)</t>
  </si>
  <si>
    <t>성과가 떨어진 원인이 스트링 개방·다이오드 단락·PID·음영·오염·인버터 이상 중 무엇인가?</t>
  </si>
  <si>
    <t>스트링 전류비·MPPT 전압비 시계열
기대 대비 잔차(시각×일자 히트맵)
Riso·잔류전류·AFCI 이벤트·고장코드
정비기록 라벨(조치 결과)</t>
  </si>
  <si>
    <t>규칙 + ML 하이브리드. 1차로 물리 규칙(전류비&lt;0.1 개방, 전압 1/3모듈 계단 = 다이오드, 저일사 PR 선행 하락 + 전압 하락 = PID 등)을 적용한다. 2차로 시계열 특징(tsfresh 계열: 계단 크기·지속·시각 대칭성·습도 상관·일사 의존성)을 추출해 그래디언트 부스팅·랜덤포레스트 다중 분류기를 학습한다. 라벨이 부족하면 은닉 마르코프 모델(HMM) 같은 비지도 군집으로 상태를 발견한 뒤 정비기록으로 명명한다(Sandia Hopwood et al. 2022 접근).</t>
  </si>
  <si>
    <t>이상 에피소드별 고장 유형 확률, 근거(특징값·기준선), 추정 손실 kWh, 권장 점검 방법(IV 스캔/IR/현장)</t>
  </si>
  <si>
    <t>출동 전 원인 후보와 필요 부품·장비를 알려 1회 출동 해결률을 높이고 MTTR을 줄인다. 오탐 억제(센서·통신·출력제어·날씨 우선 판정).</t>
  </si>
  <si>
    <t>SunEdison 450개 시스템 27개월 3,600건 티켓 분석에서 인버터가 고장 빈도·에너지 손실 모두 1위였고, 에너지 손실의 50%가 사건 5%에서 나왔다(Golnas, IEEE PVSC 2012). 긴 정지를 빨리 잡는 것이 핵심이다. 분류기 정확도의 현장 정량 근거는 미확인.</t>
  </si>
  <si>
    <t>스트링 전류 1~5분, 최소 수 개월 + 라벨된 조치 기록 수백 건 이상(추정). 스트링 맵 정확성 필수.</t>
  </si>
  <si>
    <t>IV 커브 형상 기반 결함 진단</t>
  </si>
  <si>
    <t>IV 곡선 모양으로 볼 때 이 스트링의 손실은 오염·열화·직렬저항·션트·다이오드·음영 중 무엇 때문인가?</t>
  </si>
  <si>
    <t>IV 곡선 점 배열
스캔 시 POA·모듈온도
모듈 데이터시트·직렬 수
이전 스캔(베이스라인)</t>
  </si>
  <si>
    <t>물리+ML. ① STC 환산(IEC 60891) 후 1-다이오드 파라미터(Iph, I0, n, Rs, Rsh)를 적합한다. ② Isc비·Voc비·FF비·계단 수·Rs/Rsh 변화 특징으로 규칙 분류를 한다. ③ 곡선 자체를 1D-CNN 또는 이미지화 CNN으로 분류한다(학습 데이터는 Sandia pvOps IV 시뮬레이터로 결함 합성 곡선 증강).</t>
  </si>
  <si>
    <t>스트링별 결함 유형·심각도, STC 환산 Pmax 손실(%), 스트링 순위표</t>
  </si>
  <si>
    <t>수천 스트링 중 조치할 스트링만 골라 현장 작업을 집중한다. 보증 청구용 정량 증거를 확보한다.</t>
  </si>
  <si>
    <t>한국에너지기술연구원: I-V 곡선 + 패널·어레이 정보 + 환경센서 기반 AI로 오염·성능 저하를 95% 이상 정확도로 판단(2023, 인더스트리뉴스). 화웨이(제조사 주장): 100MW 15분 스캔·14종 결함, 말레이시아 9,496 스트링 중 12.1% 결함, 전량 조치 시 발전량 1.5% 이상 증가.</t>
  </si>
  <si>
    <t>인버터 내장 스캔 기능 또는 휴대형 트레이서. 청천·안정 일사(&gt;600 W/m² 권장, 추정) 조건. 월~분기 주기, 결함 라벨 수백 곡선 이상.</t>
  </si>
  <si>
    <t>드론 열화상(IR)·가시광 이미지 결함 검출과 발전데이터 결합 우선순위화</t>
  </si>
  <si>
    <t>어느 모듈이 어떤 결함(핫스팟·서브스트링·다이오드·PID 패턴·오염·스트링 개방)을 갖고 있고, 무엇부터 고쳐야 하나?</t>
  </si>
  <si>
    <t>방사측정 IR 정사영상, 가시광 영상
촬영 시 POA·풍속·외기온
배치도(GIS)·스트링 맵
동일 기간 스트링 전류비·손실 추정</t>
  </si>
  <si>
    <t>딥러닝. ① 모듈 분할(세그멘테이션: U-Net/Mask R-CNN) 후 결함 검출·분류(YOLO 계열 또는 EfficientNet)를 한다. ② ΔT를 표준 일사로 환산하고 IEC TS 62446-3 이상 등급을 매핑한다. ③ 결함 좌표를 스트링 채널에 조인해 SCADA 손실과 교차검증한다(원격에서 보이는 손실 + IR 확인 = 높은 신뢰). ④ 손실 ₩ × 안전위험(화재) 가중으로 조치 순위를 매긴다.</t>
  </si>
  <si>
    <t>결함 목록(좌표·유형·ΔT·등급·추정 손실·안전등급), 작업지시 초안, 전년 대비 결함 증감</t>
  </si>
  <si>
    <t>전수 점검을 1년 1회 이상 저비용으로 수행하고, 화재 위험(정션박스·커넥터 과열)을 선제 제거한다. 점검 빈도를 늘릴수록 손실이 줄어드는 경향이 있다.</t>
  </si>
  <si>
    <t>폴란드·스페인 연구(Measurement, 2026): 자동비행 + AI 분석으로 점검·판독·보고 147분 → 54분(−63.3%), EfficientNet-B0 가중 F1 0.927(AI타임스 보도). Raptor Maps(업계): 연 5회 점검 사이트 평균 손실 약 3% vs 연 1회 약 7%(상관관계, 인과 아님).</t>
  </si>
  <si>
    <t>IR 해상도 640×512급 이상, POA&gt;600 W/m² 청천·약풍(IEA PVPS T13-10), 좌표 정합(RTK/GCP). 연 1~2회 + 이상 의심 시. 국내는 비행 승인 등 규제 확인 필요.</t>
  </si>
  <si>
    <t>높음</t>
  </si>
  <si>
    <t>EL 이미지 셀 결함 분류</t>
  </si>
  <si>
    <t>IR·원격 분석으로 의심된 모듈에서 셀 크랙·PID·납땜 불량이 얼마나 진행됐나, 보증 대상인가?</t>
  </si>
  <si>
    <t>EL 이미지(야간 전류 인가 또는 주간 PL/EL)
모듈 모델·출하 EL(있으면)</t>
  </si>
  <si>
    <t>딥러닝. 모듈 원근 보정·셀 분할 후 셀 단위 CNN 분류(정상/크랙/비활성/PID)를 한다. 라벨이 적으면 사전학습 모델 미세조정과 SVM(특징 기반) 경량 모델을 병행한다.</t>
  </si>
  <si>
    <t>셀별 결함 확률·유형, 모듈 비활성 면적 %, 출하 대비 변화</t>
  </si>
  <si>
    <t>보증 청구·제조사 협상 근거, 모듈 교체 범위 결정, 시공·운송 결함 원인 규명.</t>
  </si>
  <si>
    <t>Deitsch et al.(Solar Energy 2019): 1,968개 셀 EL 이미지로 CNN 평균 정확도 88.42%(GPU 필요), SVM 82.44%(범용 하드웨어).</t>
  </si>
  <si>
    <t>고해상도 EL(셀당 충분한 픽셀), 야간 전원장비. 수작업 야간 EL은 하룻밤 약 0.2MWp(IEA PVPS T13-10)라 표본 점검용. 셀 라벨 수천 장 수준(추정).</t>
  </si>
  <si>
    <t>인버터 고장 예지(PHM)</t>
  </si>
  <si>
    <t>어느 인버터가 향후 수 주~수 개월 내 고장 날 가능성이 높고, 무엇(팬·IGBT·커패시터·절연·통신)이 원인일까?</t>
  </si>
  <si>
    <t>방열판−외기 ΔT(부하 bin), 디레이팅 빈도
효율 bin 추세, 고장코드 빈도·종류
Riso·잔류전류 추세
가동연수·모델·펌웨어, 정비·교체 이력</t>
  </si>
  <si>
    <t>통계+ML. 건전성 지표(HI)를 정의하고(동일 조건 bin 대비 편차의 EWMA), 생존분석(Cox 비례위험, 랜덤 생존 포레스트)으로 고장까지 시간 위험도를 추정한다. 코드 시퀀스는 이벤트 시퀀스 모델(마르코프·LSTM)로 전조 패턴을 학습한다. 동일 모델 피어가 많을수록 유리하다.</t>
  </si>
  <si>
    <t>인버터별 30/90일 고장 위험도, 의심 부품, 권장 예방정비(팬·필터 교체, 체결 점검), 예비품 수요</t>
  </si>
  <si>
    <t>고장 후 출동을 계획 정비로 바꿔 정지 시간과 긴급 출동비를 줄이고, 여름 전 팬·필터를 선제 교체한다.</t>
  </si>
  <si>
    <t>Sandia·NREL·EPRI: 800여 사이트 5.5만 건 정비기록 ML 분석에서 통신, 지락, 열관리, IGBT가 가장 빈번한 인버터 하위계통(IEEE Access 2020). 선행 탐지 기간의 정량 근거는 미확인.</t>
  </si>
  <si>
    <t>동일 모델 수십 대 이상, 2년 이상 온도·코드 데이터, 고장·교체 이력 라벨 필수(라벨이 가장 큰 병목).</t>
  </si>
  <si>
    <t>예측(수명)</t>
  </si>
  <si>
    <t>발전량 예측(익일·당일)</t>
  </si>
  <si>
    <t>내일·몇 시간 뒤 사이트별 발전량은 얼마인가(시장 입찰·예측제도 정산, 수전해 운전계획용)?</t>
  </si>
  <si>
    <t>수치예보(기상청 LDAPS/동네예보 등)·위성 일사
과거 실측 발전량·출력제어 이력
설비 정보(용량·방위·경사·ILR)
최근 오염·열화 상태</t>
  </si>
  <si>
    <t>물리+ML. 예보 일사 → pvlib 물리 모델 기대발전량을 기저 특징으로 두고 LightGBM/Transformer로 오차를 보정한다(사이트·시각·계절 임베딩). 당일은 위성 구름 이동 기반 초단기 예측. 분위수 회귀로 불확실성 구간 제공.</t>
  </si>
  <si>
    <t>사이트·권역별 시간 단위 발전량 예측과 P10/P50/P90, 예측오차율 추적</t>
  </si>
  <si>
    <t>KPX 재생에너지 발전량 예측제도 정산금 수익, 출력제어 대비, 연계 수전해·ESS 운전계획(잉여전력 → 수소 생산 스케줄) 최적화. 실측 대비 예측 편차는 고장 조기 신호로도 쓴다.</t>
  </si>
  <si>
    <t>정산 구간(2025.7 기준, 해줌 블로그): 오차율 4% 이하 4원/kWh, 4~6% 3원/kWh. 1MW 약 연 330만 원 추가 수익 예시(업계 자료, 확인 필요). 모델 정확도의 공공 정량 사례는 이번 조사에서 미확인.</t>
  </si>
  <si>
    <t>1시간(가능하면 15분) 실측 1년 이상, 과거 예보 아카이브(학습용), 출력제어 구간 라벨.</t>
  </si>
  <si>
    <t>정비기록·알람 구조화(NLP/LLM)와 발전소별 코칭 리포트 생성</t>
  </si>
  <si>
    <t>흩어진 작업지시·메모·알람을 표준 고장 분류로 정리하고, 사이트별로 무엇을 먼저 해야 하는지 쉽게 설명할 수 있나?</t>
  </si>
  <si>
    <t>정비기록 자유 텍스트, 작업지시
고장코드·이벤트, 탐지 결과(Finding: 유형·근거·손실·심각도)
손실 워터폴, 비용·단가</t>
  </si>
  <si>
    <t>LLM + 규칙. ① LLM 추출로 텍스트를 (자산, 증상, 원인, 조치, 부품, 소요시간) 구조로 만든다(Sandia pvOps 텍스트-시계열 결합 방식 참고). ② 결과를 시계열 이벤트와 시간 조인해 라벨 DB를 만든다. ③ 리포트는 구조화 Finding만 입력으로 받는 템플릿 제약 생성(RAG: 제조사 매뉴얼·표준 절차)을 쓰고, 수치는 원본 인용을 강제해 환각을 방지한다.</t>
  </si>
  <si>
    <t>표준화된 고장·조치 DB, 사이트별 월간 코칭 리포트(Top-N 조치, 기대 회수 kWh·₩, 근거 그래프 링크), 반복 고장 인사이트</t>
  </si>
  <si>
    <t>ML 모델 학습 라벨을 자동 축적하고(선순환), 경영진용 요약과 엔지니어용 근거를 한 번에 제공한다. 조치 후 효과를 다시 측정해 권고 품질을 개선한다.</t>
  </si>
  <si>
    <t>Sandia·NREL: 5.5만 건 정비기록을 ML로 분류해 빈발 고장 모드 도출(IEEE Access 2020). 리포트 자동화의 정량 효과는 미확인.</t>
  </si>
  <si>
    <t>정비기록 수백~수천 건, 코드 사전, 자산 ID 일관성. 개인정보·업체명 마스킹.</t>
  </si>
  <si>
    <t>클리핑·출력제어·설정 손실 정량화와 설계·설정 최적화</t>
  </si>
  <si>
    <t>클리핑과 출력제어로 잃는 전력량은 얼마이며, ILR·역률·Volt-Var·출력제한 설정을 바꾸면 얼마나 회수되나?</t>
  </si>
  <si>
    <t>1분 AC/DC 전력, V_dc
출력제한 설정·지령 이력, 무효전력 설정
기대 DC 전력(물리 모델)
SMP·REC 단가</t>
  </si>
  <si>
    <t>물리+통계. 클리핑 구간 검출(PVAnalytics)과 기대 DC − 실제 AC로 손실을 산정한다. 출력제어는 지령·동시성으로 분리한다. 시뮬레이션(pvlib)으로 ILR·설정 대안의 연간 손익을 비교한다. 계통 전압 상승 트립 사이트는 Volt-Var 적용 시 트립 감소 대비 유효전력 손실을 추정한다.</t>
  </si>
  <si>
    <t>사이트별 클리핑·출력제어·디레이팅 손실 kWh·₩, 설정 오류(잔존 제한) 경보, 증설(DC 추가)·ESS·수전해 연계 시 흡수 가능량</t>
  </si>
  <si>
    <t>설정 잔존 즉시 해소, 반복 전압 트립 사이트의 무효전력 설정 조정, 버려지는 클리핑·출력제어 전력을 수전해·ESS로 돌리는 사업 판단 근거.</t>
  </si>
  <si>
    <t>정량 근거 미확인(사이트 의존). 국내 출력제어 증가(기존 리서치: 2024년 육지 15회, 2025년 4월말까지 20회)로 가치가 커지는 영역.</t>
  </si>
  <si>
    <t>1분 해상도 필수(15분 평균은 클리핑 과소평가), 지령 로그, 설정 스냅샷.</t>
  </si>
  <si>
    <t>조건 매칭 가용용량(SOH) 추정과 '가역 손실 vs 비가역 열화' 분해</t>
  </si>
  <si>
    <t>같은 조건에서 충전에 들어가는 전하량이 줄었나? 그 감소는 셀 불균형(회복 가능)인가, 실제 열화인가? BMS SOH를 믿어도 되나?</t>
  </si>
  <si>
    <t>랙 전류·전압(1~10초)
셀 전압 배열 또는 최고/최저 셀 전압+ID
셀 온도
SOC(BMS)·SOC 재보정 이벤트
충전 세션·휴지 이벤트
BMS SOH
운영 설정 변경 이력</t>
  </si>
  <si>
    <t>통계+규칙: 전압 앵커 구간(휴지 OCV 기반 시작점 → CV 종료전류 도달) Ah 적분을 C-rate·온도 bin별 기준선(준공 30~120일)과 비교, bin별 비율의 표본 가중 결합·부트스트랩 95% CI·Theil–Sen 추세. 불균형 분해: 셀 배열로 셀별 상단 여유·하단 여유를 추정해 가용 Ah ≈ min(Q_i·(1−SOC_i)) + min(Q_j·SOC_j)를 계산, '밸런싱 시 회복 가능한 Ah'와 '셀 평균 용량 감소'를 분리. 저항 효과 분리: CC 구간 Ah 감소 + CV 시간 증가 패턴 태깅. 2단계 ML: 부분충전 특징(상단 전압 상승시간, CV 전류 감쇠 시정수, dQ/dV 피크 면적)을 입력으로 가우시안 프로세스 회귀(GPR)로 SOH와 불확실성 추정.</t>
  </si>
  <si>
    <t>랙/뱅크별 SOH_Q(%) 시계열과 95% 신뢰구간, 회복 가능 에너지(kWh)와 비가역 손실(kWh) 분해, BMS SOH 대비 괴리 경보</t>
  </si>
  <si>
    <t>회복 가능 손실이 크면 상단 체류·밸런싱 시간 확보나 BMS 밸런싱 파라미터 조정으로 즉시 용량 회복, 비가역 열화면 운영 SOC창·C-rate 조정과 보증 청구 근거 자료화, 증설(augmentation) 시점 계획</t>
  </si>
  <si>
    <t>사용자 예시 8h→7.5h는 Q=I·t로 −6.25%(산술). Accure 2025 보고서(100+ 사이트, 18GWh+): 사업의 83%만 SAT에서 정격 용량 충족, 하드웨어 부품 19%가 운영 문제 유발(https://www.renewableenergymagazine.com/storage/accure-releases-2025-energy-storage-system-health-20250910). TWAICE는 불균형 해소로 되찾을 수 있는 'Recoverable Energy' 지표를 제품화(정량 복구량은 정량 근거 미확인)</t>
  </si>
  <si>
    <t>V/I 1~10초, 셀 온도, 준공 후 첫 30~120일 기준선, 온도·C-rate bin당 유효 세션 ≥5, 정기 용량시험 결과(라벨), 설정·교체 이력으로 기준선 버전 관리. 태양광 연계는 흐린 날 전류 변동이 커 Ah 기준 비교 필수</t>
  </si>
  <si>
    <t>증분용량분석(ICA)·차등전압분석(DVA)으로 열화 모드(LLI/LAM/리튬 석출) 진단</t>
  </si>
  <si>
    <t>용량이 줄어든 원인이 SEI에 의한 리튬 소모인가, 전극 활물질 손상인가, 리튬 석출인가? 그래서 무엇을 바꿔야 하나?</t>
  </si>
  <si>
    <t>저C-rate 충전 구간의 셀 또는 랙 전압(≤1mV 해상도)
전류
셀 온도
반쪽전지 OCP 곡선(제조사/문헌)</t>
  </si>
  <si>
    <t>물리기반+신호처리: dQ/dV = ΔQ/ΔV를 전압 bin(1~5mV)으로 계산하고 Savitzky–Golay 또는 가우시안 커널로 평활, 피크 위치·높이·면적을 세션별로 추적. 양극·음극 반쪽전지 전위 곡선을 이동·축척해 전체 셀 곡선에 맞추는 전극 정렬(Dubarry 방식) 최적화로 LLI, LAM_PE, LAM_NE를 정량. 저항·히스테리시스가 만드는 가짜 LAM/LLI 편향을 전류 크기별 비교로 보정. 석출은 충전 후 휴지 전압 완화 곡선의 dV/dt 변곡(plateau) 검출을 병행.</t>
  </si>
  <si>
    <t>열화 모드별 기여도(%) 추세, 피크 이동 차트, 리튬 석출 의심 이벤트 목록</t>
  </si>
  <si>
    <t>LLI 우세 → 고SOC 대기·고온 노출 축소(충전 완료 시각 조정, 설정온도 하향), LAM 우세 → DOD·C-rate 제한, 석출 의심 → 저온 충전 금지·예열·CCL 테이블 강화</t>
  </si>
  <si>
    <t>ICA를 이용한 연구에서 LFP 셀의 주된 용량 손실 원인이 리튬 인벤토리 손실(LLI)로 확인됨(정성, https://www.sciencedirect.com/science/article/abs/pii/S0013468613016034). 열화모드 분석이 수명모델 파라미터화에 중요하다는 연구(https://www.nature.com/articles/s41467-025-57968-3). 운영 개선 정량 효과는 정량 근거 미확인</t>
  </si>
  <si>
    <t>≤0.5C로 거의 일정한 충전 구간(태양광 연계는 일사 변동으로 부적합하므로 월 1회 저율 충전 프로파일을 EMS에 편성 권장), 샘플 ≤10초(1초 권장), 셀 온도 안정 구간, LFP는 피크 간격이 좁아 셀 단위 데이터 권장</t>
  </si>
  <si>
    <t>SOH·잔여수명(RUL) 확률 예측</t>
  </si>
  <si>
    <t>이 랙은 언제 SOH 80%(또는 보증 기준)에 닿나? 보증 곡선보다 빨리 늙고 있나? 운전 방식을 바꾸면 얼마나 늘어나나?</t>
  </si>
  <si>
    <t>SOH 추정 시계열(분석 1)
스트레스 노출(온도 체류, SOC 체류, EFC, DOD·C-rate 히스토그램)
셀 화학·사양
보증 곡선
동형 셀 타 사이트 데이터</t>
  </si>
  <si>
    <t>물리기반+ML 하이브리드: 반경험 수명모델(캘린더 손실 ∝ exp(−Ea/RT)·f(SOC)·t^0.5, 사이클 손실 ∝ g(DOD)·EFC, NREL Smith 2017 구조)을 기본으로 현장 데이터로 베이지안 갱신(파티클 필터), 잔차는 GPR로 보정. 데이터가 충분하면 물리정보신경망(PINN)으로 대체·비교. 무릎점(knee) 위험은 저항 증가 가속·ICA 피크 소멸 특징으로 분류 모델.</t>
  </si>
  <si>
    <t>RUL 분포(중앙값·P10/P90)와 도달 예상일, 보증 곡선 대비 편차, 운전 시나리오별 what-if 수명</t>
  </si>
  <si>
    <t>교체·증설 예산과 시점 계획, 보증 청구 타이밍, 수명을 늘리는 운전전략(분석 9)의 목표 설정</t>
  </si>
  <si>
    <t>Severson 2019(Nature Energy): LFP 124셀, 용량 저하 전 첫 100사이클로 수명 예측 오차 9.1%, 5사이클로 2그룹 분류 오차 4.9%(실험실). Wang 2024 PINN(Nature Communications): 387셀·310,705샘플 SOH MAPE 0.87%. Aitio·Howey 2021: 현장 1,027개 태양광 연계 배터리(납축전지) 데이터로 수명말 8주 전 73%, 고장 시점 82% 정확도(화학 상이, 방법론 참고)</t>
  </si>
  <si>
    <t>SOH 추정 이력 최소 6~12개월(추정), 1분 이상 해상도의 온도·SOC, 사이클 카운터, 사양·보증 문서, 가능하면 동형 셀 5개 이상 사이트(전이학습)</t>
  </si>
  <si>
    <t>이상 셀·모듈 조기탐지(강건 통계 + 비지도 딥러닝)</t>
  </si>
  <si>
    <t>수천 개 셀 중 '다르게 행동하는' 셀은 어디이며, 점검 우선순위는?</t>
  </si>
  <si>
    <t>셀 전압 배열
셀/모듈 온도 배열
밸런싱 플래그
랙 전류·SOC
셀 위치 맵
교체 이력</t>
  </si>
  <si>
    <t>1단계 규칙·통계: 운전 상태(휴지/충전 상단/방전 하단/중간 SOC)별 셀 편차 robust z = (V−median)/(1.4826·MAD), 반복 셀 ID 점유율, CUSUM. 2단계 ML: 충전 스니펫(전압·전류·온도·SOC 시퀀스)을 입력으로 오토인코더 재구성 오차 기반 이상 점수(Zhang 2023의 동적 오토인코더 구조 참고) 또는 Isolation Forest. 3단계: 위치 효과(HVAC 토출구, 랙 상단) 보정 후 사이트 간 점수 보정, 점검 결과 라벨로 반지도 학습 전환.</t>
  </si>
  <si>
    <t>셀/모듈 이상 점수 순위표, 근거 차트(편차 추세·반복 ID), 점검 작업지시 후보</t>
  </si>
  <si>
    <t>문제 모듈 선제 교체, 버스바 토크 점검, 밸런싱 설정 조정, 위험 셀 포함 랙의 SOC 상한 하향</t>
  </si>
  <si>
    <t>Zhang 외 2023(Nature Communications): 347대 EV의 69만 개 이상 충전 스니펫에서 기존 딥러닝 포함 최신 모델의 한계를 극복하고 예상 고장·점검 비용을 절감(초록에 절감률 수치 없음 → 정량 근거 미확인). TWAICE–InterEnergy(40MWh): 비가동 스트링과 모듈 단선에 따른 전압 불균형·용량 손실을 자동 탐지해 용량 복구(복구량 정량 미공개)</t>
  </si>
  <si>
    <t>셀 전압 배열(충전 10~30초, 휴지 1~5분), 셀 위치 맵, 교체·정비 이력(기준선 리셋), 점검 결과 라벨 누적</t>
  </si>
  <si>
    <t>미세 내부단락·자가방전 이상 탐지(화재 전조)</t>
  </si>
  <si>
    <t>휴지 중에 혼자 전하를 잃는 셀이 있나? 등가 누설전류는 얼마이고 얼마나 빨리 커지나?</t>
  </si>
  <si>
    <t>휴지 구간 셀 전압(1mV)
밸런싱 플래그·누적 시간
셀 온도
OCV-SOC 곡선</t>
  </si>
  <si>
    <t>물리기반+통계: 휴지 구간별 셀 상대전압(V_i − median) 기울기를 OCV 기울기(dV/dSOC)로 나눠 등가 누설전류 I_leak ≈ Q_cell·d(ΔSOC_i)/dt 추정, 온도 보정. 밸런싱 에너지 누적의 셀간 비교(자가방전이 큰 셀은 상단에서 오히려 낮아져 밸런싱 대상에서 빠지는 패턴)로 교차검증. 칼만필터로 등가 단락저항 R_ISC를 추정하고 CUSUM·Theil–Sen으로 증가 추세 경보. LFP는 평탄구간 dV/dSOC가 작아 상단 SOC 휴지 구간 데이터 우선.</t>
  </si>
  <si>
    <t>셀별 추정 누설전류(mA)·등가 단락저항(Ω)·추세, 위험 등급(주의/경고/긴급)</t>
  </si>
  <si>
    <t>해당 랙 SOC 상한 하향·출력 제한·격리, 제조사 긴급점검·모듈 교체로 화재 예방</t>
  </si>
  <si>
    <t>국내 2020년 2차 조사: 화재 5건 중 4건이 배터리 이상, 저전압·큰 전압 편차·양극판 접힘·구리 성분이 확인됨(https://www.knpnews.com/news/articleView.html?idxno=20325). 탐지 선행시간 정량 근거 미확인(수일~수주, 추정)</t>
  </si>
  <si>
    <t>≥12시간 휴지 구간 확보(태양광 연계는 방전 후 새벽·흐린 날), 셀 전압 1mV 해상도·휴지 스냅샷, 셀 온도, BMS 자체 소비전류·밸런싱 이력</t>
  </si>
  <si>
    <t>열폭주 전조 감지(다중 신호 융합 경보)</t>
  </si>
  <si>
    <t>지금 이 랙이 열폭주로 가고 있나? 어느 단계이며 어떤 자동 조치를 해야 하나?</t>
  </si>
  <si>
    <t>셀 온도·온도상승률
셀 전압 급락 이벤트
오프가스(VOC/H2/CO) 농도
절연저항
연기·열 감지기
HVAC 상태
미세단락 위험 점수(분석 5)</t>
  </si>
  <si>
    <t>규칙 기반 계층 + 확률 융합: 1차 규칙(dT/dt 임계, 전압 급락, 가스 임계) 2-of-N 투표로 오탐 억제 → 베이지안 네트워크 또는 그래디언트 부스팅 위험 점수로 단계 판정. 안전 판단은 현장 제어기(엣지)에서 실행하고 클라우드는 사후 분석·임계 튜닝만 담당. 학습 데이터 희소성은 UL 9540A 시험 데이터·제조사 데이터와 시뮬레이션으로 보완.</t>
  </si>
  <si>
    <t>위험 단계(주의/경고/비상)와 자동 조치 권고(랙 개방·PCS 정지·배기·소화), 사후 사고 타임라인</t>
  </si>
  <si>
    <t>연기 감지 이전 단계에서 격리해 인명·설비 피해 방지, 오탐 감소로 불필요 정지 감소</t>
  </si>
  <si>
    <t>Honeywell Li-ion Tamer: 오프가스 감지로 열폭주 2~30분 전 경고(제조사 주장, https://buildings.honeywell.com/us/en/brands/our-brands/li-ion-tamer). Jin 외 2020(Joule): H2 포집이 연기보다 639초, 발화보다 769초 앞섬(실험). EPRI: Elkhorn(2022)에서 절연 손실 경보가 운영자에게 전달되지 않아 2일 뒤 화재로 확대</t>
  </si>
  <si>
    <t>가스센서 1~10초, 셀 온도 ≤10초, 전 신호 시각 동기(초 이하), 엣지 연산 장치, 시험·사고 라벨</t>
  </si>
  <si>
    <t>BMS 독립 SOC 재추정(칼만필터 + 히스테리시스 모델)</t>
  </si>
  <si>
    <t>BMS SOC가 틀려서 가용 에너지를 낭비하거나 충전율 제한을 실제로는 넘기고 있지 않나?</t>
  </si>
  <si>
    <t>랙 전압·전류·온도(1~10초)
셀 최고/최저 전압
OCV-SOC 충·방전 분기 곡선
휴지 이벤트</t>
  </si>
  <si>
    <t>물리기반 추정: 2RC 등가회로 + 1상태 히스테리시스 모델의 확장/무향 칼만필터(EKF/UKF), 파라미터(R0, RC)는 재귀최소자승(RLS)으로 온라인 식별. LFP는 상단·하단 전압 앵커 도달 시 강한 보정, 평탄구간은 쿨롱카운팅 가중. 전류센서 오프셋을 상태변수로 함께 추정.</t>
  </si>
  <si>
    <t>독립 SOC와 BMS SOC 차이 시계열, 재보정 권고, 실제 SOC 상한 초과 시간 리포트</t>
  </si>
  <si>
    <t>과도한 안전여유 축소로 가용 에너지 확대, 충전율 제한 실질 준수, 조기 종료·과방전 방지</t>
  </si>
  <si>
    <t>Accure 2025: LFP 시스템 SOC 오차 ±15%가 흔하며 고급 분석 적용 시 ±2%로 감소. EKF SOC 추정 오차 2% 이내 보고, 모델 미갱신 시 약 3% 차이(https://www.nature.com/articles/s41598-025-99931-8)</t>
  </si>
  <si>
    <t>V/I ≤10초(1초 권장), 셀 온도, 제조사 OCV 곡선(충/방전), 정기 완충-완방 참값</t>
  </si>
  <si>
    <t>열관리(HVAC·액냉) 성능 잔차 모델과 예냉·설정 최적화</t>
  </si>
  <si>
    <t>공조가 제대로 식히고 있나? 수명을 해치지 않으면서 보조전력을 줄일 수 있나?</t>
  </si>
  <si>
    <t>외기온·일사
ESS 손실열(충방전 손실 kWh)
실내·셀 온도와 ΔT
HVAC 상태·소비전력·공급/환기 온도
냉각수 온도·유량·압력
정비 이력</t>
  </si>
  <si>
    <t>물리기반+ML: 컨테이너 열 RC 모델로 기대 실내온도·HVAC 전력을 예측하고 잔차를 그래디언트 부스팅으로 보정, 잔차 추세(CUSUM)로 냉매 누설·필터 막힘·펌프 열화 탐지. 모델예측제어(MPC)로 방전 전 예냉 시각·설정온도를 수명모델(온도 항)과 보조전력 비용의 합이 최소가 되도록 최적화.</t>
  </si>
  <si>
    <t>HVAC 건강지수·이상 경보, 권장 설정온도·예냉 스케줄, 온도 체류 리포트</t>
  </si>
  <si>
    <t>셀을 20~30°C 창에 유지해 수명 연장, 보조전력·RTE 개선, 결로 방지로 절연 사고 예방</t>
  </si>
  <si>
    <t>NREL Smith 외 2017: 셀 온도를 연중 20~30°C로 유지하는 열관리 추가 시 수명 4.9년→7.0년(DOD 74%), DOD 54% 제한 병행 시 10년(https://docs.nlr.gov/docs/fy17osti/67102.pdf). Accure 2025: 상위 사업 RTE 88% 초과</t>
  </si>
  <si>
    <t>1~5분 환경·HVAC 데이터 최소 1년(계절 포함), 기상 데이터, 정비 이력, 액냉 설비는 냉각수 계측</t>
  </si>
  <si>
    <t>열화 인지(degradation-aware) 운전전략 최적화</t>
  </si>
  <si>
    <t>SOC 창·충전 완료 시각·충방전 속도를 어떻게 바꾸면 수익을 크게 잃지 않고 수명과 안전을 늘릴 수 있나?</t>
  </si>
  <si>
    <t>수명모델(분석 3)
SMP·REC·요금제
PV 발전 예측
출력제어 이력
보증 조건
기온 예보
충전율 규정</t>
  </si>
  <si>
    <t>최적화: 혼합정수선형계획(MILP) 또는 모델예측제어(MPC). 목적함수 = 수익 − 열화비용[구간선형 사이클 깊이 비용(Xu 2018) + 캘린더 비용(SOC·온도 체류)] − 보조전력 비용, 제약 = 충전율 한도·보증 조건·CCL/DCL. 태양광 연계는 'PV 잉여를 흡수하되 충전 완료를 방전 직전으로 늦추는' 스케줄을 탐색. 강화학습은 연구 단계로 비교군 수준.</t>
  </si>
  <si>
    <t>일간 권장 충방전 스케줄·SOC 상하한, 시나리오별 수명·수익 비교표(권고 모드로 시작, 검증 후 EMS 연동)</t>
  </si>
  <si>
    <t>고SOC 대기 시간 단축(국내 화재 패턴 대응), 캘린더·사이클 열화 감소, 보증 위반 방지</t>
  </si>
  <si>
    <t>Xu 외 2018(IEEE Trans. Power Systems, ISO-NE 2015 가격 시뮬레이션, 20MW/12.5MWh): 5분 실시간시장에서 열화비용 미반영 시 기대수명 1.1년·연간 이익 −210만 달러, 16구간 열화비용 반영 시 8.0년·+27.6만 달러(https://arxiv.org/abs/1707.04567). PNNL 2022: 평균 DOD 80%→60%에서 LFP 사이클 2,400→8,000(종료 기준 차이 주의)</t>
  </si>
  <si>
    <t>검증된 수명모델, 15분 단위 가격·요금, PV 예측, EMS 지령 이력, 초기에는 읽기 전용·권고, 검증 후 지령 쓰기 권한</t>
  </si>
  <si>
    <t>리튬 석출 위험 감지(저온·고율 충전)</t>
  </si>
  <si>
    <t>겨울철이나 예열 부족 상태의 충전이 리튬 석출을 일으키고 있나?</t>
  </si>
  <si>
    <t>충전 시작 시 셀 최저온도
충전 C-rate·SOC
충전 종료 후 30분 전압 완화 곡선(≤1초)
CV 구간 전류 곡선
용량 추세</t>
  </si>
  <si>
    <t>규칙+신호처리: 위험 조건(셀 온도×C-rate×SOC 매트릭스)으로 이벤트 태깅 → 충전 종료 후 전압 완화 곡선의 dV/dt와 2차 미분에서 plateau 변곡 검출(석출 리튬 재삽입 혼합전위), CV 구간 전류 plateau 검출, 이후 세션 용량·자가방전 변화와 연계한 확률 점수.</t>
  </si>
  <si>
    <t>석출 의심 이벤트 목록과 위험 점수, 계절별 위험 캘린더</t>
  </si>
  <si>
    <t>CCL 온도 테이블 강화, 충전 전 예열 스케줄, 겨울 충전 시각 조정, 반복 의심 랙 점검</t>
  </si>
  <si>
    <t>휴지·방전 시 전압 plateau가 석출 리튬 스트리핑과 연관된 온라인 검출 신호이며 저온일수록 plateau가 길어진다는 연구(https://www.sciencedirect.com/science/article/abs/pii/S0378775318305573). 운영 개선 정량 효과는 정량 근거 미확인</t>
  </si>
  <si>
    <t>충전 종료 후 30분간 1초 전압, 셀 온도, 셀 단위 전압 권장, 저온 사이트(내륙) 우선</t>
  </si>
  <si>
    <t>규정·보증 준수 및 스트레스 노출 코칭 리포트(규칙 + LLM 문장화)</t>
  </si>
  <si>
    <t>이번 달 우리 ESS는 충전율 규정과 보증 조건을 지켰나? 무엇부터 고쳐야 하나?</t>
  </si>
  <si>
    <t>SOC 이력과 설정값
완충 후 대기 시간
셀 전압 한계 근접 시간
온도 체류
EFC·DOD 분포
알람 로그
다른 분석의 탐지 결과(Findings)</t>
  </si>
  <si>
    <t>규칙·통계로 수치를 산출(규정 초과 SOC 분 수, 완충 후 대기 시간 분포, 35°C 초과 체류, 보증 처리량 대비 사용률) → 구조화된 Findings(JSON: 근거·기준선·현재값·지속기간·심각도) → LLM은 수치를 새로 만들지 않고 템플릿에 따라 한국어 코칭 문장·조치 우선순위만 생성(근거 인용 강제).</t>
  </si>
  <si>
    <t>발전소별 월간 코칭 리포트(위반 목록, 위험 순위, 권장 조치, 근거 차트), 경영진용 요약</t>
  </si>
  <si>
    <t>규정 준수·보험·사고조사 대비, 현장 조치 우선순위화, 운영자 행동 변화 유도</t>
  </si>
  <si>
    <t>국내 2021~2024년 6월 ESS 화재 25건 중 23건(92%)이 제한 충전율 이상 완충 후 미운영 상태에서 발생(전기안전공사 자료 기반 보도, https://zdnet.co.kr/view/?no=20241007084436). 리포트 도입의 정량 효과는 정량 근거 미확인</t>
  </si>
  <si>
    <t>SOC·설정값 1분, 알람 로그, 정비 이력, 보증 문서, 사이트 메타데이터</t>
  </si>
  <si>
    <t>기술(현황)</t>
  </si>
  <si>
    <t>Fleet 벤치마킹과 전이학습(동형 셀 다사이트 비교)</t>
  </si>
  <si>
    <t>같은 제조사·같은 셀을 쓰는 다른 발전소보다 우리 사이트가 빨리 늙거나 문제가 많나? 그 이유는?</t>
  </si>
  <si>
    <t>사이트별 SOH·저항·셀 편차·RTE·보호동작 빈도
스트레스 지표(온도·SOC·EFC)
설비 메타(셀 로트·냉각 방식·옥내외)</t>
  </si>
  <si>
    <t>통계+ML: 계층 베이지안 회귀(사이트 랜덤효과)로 온도·SOC·EFC 공변량 보정 후 잔차 순위, SHAP으로 원인 기여도 설명, 새 사이트는 fleet 사전분포로 전이학습(PINN/GPR 사전).</t>
  </si>
  <si>
    <t>사이트 순위표, 원인 기여도, 모범 운영 사례, 로트 이슈 조기 신호</t>
  </si>
  <si>
    <t>우수 사이트 운영 설정 표준화, 로트 문제 조기 발견·제조사 협상력 확보</t>
  </si>
  <si>
    <t>Accure 2025(100+ 사이트, 18GWh+): 하드웨어 부품 19%가 운영 문제, 20% 시스템은 저품질 데이터만 수집(https://www.renewableenergymagazine.com/storage/accure-releases-2025-energy-storage-system-health-20250910). 벤치마킹 도입 효과 정량 근거 미확인</t>
  </si>
  <si>
    <t>동형 셀 사이트 ≥5개(추정), 표준 메트릭 레지스트리, 메타데이터·로트 정보, 데이터 품질 지표</t>
  </si>
  <si>
    <t>사이트 발전량 단기·일전 확률 예측</t>
  </si>
  <si>
    <t>앞으로 15분~36시간 동안 전해조·ESS에 쓸 수 있는 PV 전력은 얼마이고, 얼마나 불확실한가?</t>
  </si>
  <si>
    <t>POA 일사·모듈온도·PV AC 출력 이력(1분)
기상청 단기예보·수치예보(NWP)·위성 일사 아카이브
태양 위치·청천 모델
출력제어·정지 구간 라벨
설비 용량·가용상태 변경 이력</t>
  </si>
  <si>
    <t>하이브리드 방식이다. 물리모델(청천 일사 + PV 성능모델)이 기본 출력을 계산하고, 그 잔차를 그래디언트 부스팅(LightGBM 등)이 예보 변수로 학습한다. 0~6시간은 최근 실측과 위성 일사 추세로 보정(nowcast)한다. 분위수 회귀로 P10/P50/P90을 내고, 설비용량 대비 nMAE와 분위 커버리지로 평가한다.</t>
  </si>
  <si>
    <t>15분 해상도 PV 예측(P10/P50/P90), 예측오차 리포트, 예측 불확실성이 큰 기상 유형 목록</t>
  </si>
  <si>
    <t>전해조 기동·대기·정지 결정과 ESS 예비량 설정에 입력으로 쓰이고, 출력제어 대비와 KPX 예측제도 정산금 확보에도 활용한다</t>
  </si>
  <si>
    <t>KPX 재생에너지 발전량 예측제도는 오차율 8% 이하일 때 3~4원/kWh를 정산한다(산업부·KPX 2020 발표 보도). Google DeepMind는 미국 풍력 700 MW에서 36시간 전 예측으로 하루 전 급전 약속을 최적화해 풍력 가치를 약 20% 높였다고 밝혔다(2019, 기업 블로그·풍력 사례). 수전해 연계 PV에서의 정량 효과는 확인하지 못했다.</t>
  </si>
  <si>
    <t>계절을 포함한 최소 1년의 1~15분 PV 출력·POA, 같은 기간의 예보 아카이브(발행시각 포함), 출력제어·정지 라벨, 용량 변경 이력</t>
  </si>
  <si>
    <t>예측 기반 전해조·ESS·연료전지 통합 스케줄링(LCOH·수익 최적화)</t>
  </si>
  <si>
    <t>내일과 앞으로 몇 시간 동안 전해조를 몇 대, 몇 %로 돌리고 언제 대기·정지할지, ESS와 연료전지는 어떻게 쓸지?</t>
  </si>
  <si>
    <t>PV 확률 예측(P10~P90)
SMP·REC·요금·수소 판매가
수소 수요·출하 계획, 저장 재고
ESS SOC·허용전류
설비 파라미터(효율곡선·최소부하·기동시간·대기전력·기동 1회 열화비용)
출력제어 확률 예측
월 탄소예산</t>
  </si>
  <si>
    <t>2단 구조다. ① 일전 MILP: 전해조 상태(on/standby/off)를 이진변수로 두고, 수소 생산곡선은 구간선형 또는 원추(conic) 완화로 표현한다. 예측 불확실성은 시나리오 기반 확률계획으로 다룬다. ② 당일 롤링 MPC: 5~15분마다 2~6시간 앞을 다시 푼다. 그 아래에 실시간 규칙 보정을 둔다. 알칼라인은 온도·HTO 동특성 제약을 넣어 최소부하를 동적으로 완화한다.</t>
  </si>
  <si>
    <t>설비별 15분 설정값 계획과 모드 전환 계획, 기대 kg·kWh·원가·탄소집약도, 계획 대비 실적 차이 리포트</t>
  </si>
  <si>
    <t>전해조 전부하 환산시간을 늘리고 기동/정지·대기 손실과 계통수전 탄소를 줄여 LCOH를 낮춘다. 운영자에게 설정 임계값(대기 전환 공백 시간 등) 조정을 코칭한다.</t>
  </si>
  <si>
    <t>모두 시뮬레이션 기반이며 실증 결과는 아니다. 풍력 직결·완벽 예측을 가정한 22대 알칼라인 전해조 플랜트 단일 시뮬레이션에서 온도·HTO 동특성 반영 스케줄링이 수소 +7.74%, 이익 +8.72%였고, PV 연계 평균은 수소 +0.807%, 이익 +0.982%였다(Qiu 등 2023). PV 직결 플랜트에서 공정제약 인지 스케줄링은 이익 +1.627%였다(Qiu 등 2022). 단순 전해조 모델을 쓰면 상세 모델 대비 연간 이익 −1.8%, 수소 −13.5%인 사례가 있었다(Baumhof 등 2023). IRENA 2020은 연 3,000~4,000 운전시간이면 투자비 기여를 가장 크게 낮출 수 있다고 제시한다.</t>
  </si>
  <si>
    <t>시운전 성능시험 기반 효율곡선, 상태전이 시간·에너지 실측(기동 이벤트 수십 건 이상), 1분 전력·수소·온도, 가격 이력, 예측 아카이브, 계약 제약</t>
  </si>
  <si>
    <t>에너지·수소 수지 폐합과 계량 신뢰성 진단(데이터 조정)</t>
  </si>
  <si>
    <t>계량값들이 서로 맞는가? 어느 계량기가 틀렸고, 어디서 손실·누설이 생기는가?</t>
  </si>
  <si>
    <t>M1~M10 전력량 카운터
H1~H6 수소 적산·재고(P, T)
패러데이 이론 생산량
계량기 불확도·교정 이력
계량 결선도</t>
  </si>
  <si>
    <t>가중최소제곱 데이터 조정(Data Reconciliation)으로 계량기 불확도의 역수를 가중해 수지식을 만족하는 추정값을 구한다. 총오차검정(global test)과 측정검정으로 이상 계량기를 찾는다. 잔차에는 CUSUM과 Theil–Sen 추세를 적용하고, 부호 반전·롤오버·배율 변경을 규칙으로 선검사한다.</t>
  </si>
  <si>
    <t>일·주 단위 수지 잔차(%)와 신뢰구간, 의심 계량기 순위, 추정 손실(kWh, kg)</t>
  </si>
  <si>
    <t>CT·유량계 점검과 교정 지시, 누설 점검 우선순위를 정하고, 인증 심사의 물질·에너지 수지 검토에 쓸 증빙을 자동으로 만든다</t>
  </si>
  <si>
    <t>청정수소 인증 고시 제12조②는 공정 데이터의 정밀도·완결성·대표성·일관성·재현성과 물질 수지·에너지 수지를 검토하도록 규정한다. 비용 절감 효과는 정량 근거를 확인하지 못했다.</t>
  </si>
  <si>
    <t>시각이 맞춰진 1분 누적 카운터, 계량 결선도·CT비, 교정성적서, 최소 수주 이상의 연속 데이터</t>
  </si>
  <si>
    <t>청정수소 탄소집약도·월 매칭 실시간 추적과 가드레일</t>
  </si>
  <si>
    <t>이번 달 생산한 수소가 목표 등급을 지키고 있는가? 남은 기간에 계통 수전을 얼마까지 허용할 수 있는가?</t>
  </si>
  <si>
    <t>전력원별 전력량(PV 직공급·ESS 경유·계통)
월 저탄소 전원 발전량
수소 생산량(H1)
전력배출계수(최신 승인값)
인증운영기관 기본 제공 데이터
PV 예측</t>
  </si>
  <si>
    <t>규칙 기반 원장(ledger)으로 15분 단위 전력원을 배분하고 월 누적 CI를 계산한다. 월말까지 남은 기간은 PV 예측 시나리오로 몬테카를로 시뮬레이션해 등급 이탈 확률을 낸다. 잔여 탄소예산은 EMS 스케줄링 제약으로 되돌려 준다.</t>
  </si>
  <si>
    <t>일별 누적 탄소집약도(kgCO2e/kg), 월말 예측 등급과 확률, 잔여 계통수전 허용 kWh</t>
  </si>
  <si>
    <t>계통 보조 수전과 대기전력 사용을 제한하고, 인증 증빙과 분기 신고 자료를 자동화한다</t>
  </si>
  <si>
    <t>고시는 수전해 투입 전력이 저탄소 전원과 월 단위로 일치하고 동일 전력망에 있어야 적격이라고 규정한다(제12조). 추정 계산으로, SEC 55 kWh/kg에 2023년 전력배출계수 0.4173 tCO2eq/MWh를 적용하면 계통전력만으로 만든 수소는 약 22.9 kgCO2e/kg이다. 따라서 미매칭 계통전력 비중이 약 0.44%만 넘어도 1등급 한도(0.10)를 넘는다. 운영 효과는 정량 근거를 확인하지 못했다.</t>
  </si>
  <si>
    <t>15분 이하 전력원별 계량, 월 단위 폐합, 인증기관 산정 규칙·기본 제공 데이터 버전</t>
  </si>
  <si>
    <t>시스템 손실 워터폴과 P2P 효율 분해</t>
  </si>
  <si>
    <t>PV 1 MWh가 수소를 거쳐 다시 전기로 돌아오기까지 어디서 얼마나 잃는가? 지난달보다 어느 손실이 늘었는가?</t>
  </si>
  <si>
    <t>계량점 M1~M10, H1~H6
설비 효율 기준선(시운전·데이터시트)
운전 조건(부하율·온도·모드)</t>
  </si>
  <si>
    <t>계량점 간 차분으로 손실을 나누고(정류기, BoP, 대기, 압축, 연료전지 기생, 출력제어, 가용률 손실), 기존 조건 bin 기준선 대비 편차를 kWh로 환산해 Sankey·워터폴로 보여 준다.</t>
  </si>
  <si>
    <t>월간 손실 워터폴, 기준선 대비 증감 상위 항목, 조건별(부분부하·대기) 손실 기여도</t>
  </si>
  <si>
    <t>대기 시간 단축, 정류기 저효율 부분부하 구간 회피, 압축기 운전 스케줄 조정, 보조부하 절감을 코칭한다</t>
  </si>
  <si>
    <t>벤치마크로 PNNL 2022가 수소 저장 시스템 교류 왕복효율 31~32%(리튬이온 82.59%)를 제시한다. 개선 효과는 정량 근거를 확인하지 못했다.</t>
  </si>
  <si>
    <t>모든 변환 단계의 1분 누적 계량, 운전상태 로그, 효율 기준선</t>
  </si>
  <si>
    <t>하이브리드 디지털 트윈 기반 what-if 분석</t>
  </si>
  <si>
    <t>ESS를 늘리거나, 대기 임계값을 바꾸거나, 전해조를 한 대 추가하면 연간 LCOH·탄소·가용률은 어떻게 바뀌는가?</t>
  </si>
  <si>
    <t>트윈 파라미터(분극곡선, 정류기 효율, 대기전력, 열 모델, 압축기 비전력, 연료전지 효율곡선, 배터리 열화모델)
실측 1년 기상·가격·출력제어 이력
계약·규제 제약</t>
  </si>
  <si>
    <t>물리 기반 준정적 모델에 잔차 머신러닝 보정을 더한 회색상자 모델이다. 파라미터는 조건 bin 기준선에서 칼만필터나 베이지안 갱신으로 주기적으로 재추정한다. 대안별 1년 시뮬레이션에 스케줄링 최적화를 재사용한다.</t>
  </si>
  <si>
    <t>대안별 연간 수소 kg, SEC, LCOH, 탄소집약도, 기동횟수·열화 스트레스 비교표와 민감도</t>
  </si>
  <si>
    <t>설비 증설·설정 변경·운전 전략을 투자 전에 검증하고, 경영진 보고용 근거를 만든다</t>
  </si>
  <si>
    <t>IEA GHR 2025는 재생설비 최적 과대설계(oversizing)를 LCOH 산정 전제로 쓰고, 전해조가 LCOH의 55~65%를 차지한다고 제시한다. IRENA 2020은 연 3,000~4,000시간을 투자비 기여 저감의 핵심 구간으로 제시한다. 트윈 도입 자체의 정량 효과는 확인하지 못했다.</t>
  </si>
  <si>
    <t>최소 1년 운전 데이터, 성능시험 곡선, 설비 교체 이력, 가격·계약 시나리오</t>
  </si>
  <si>
    <t>다중 사이트 벤치마킹·피어 비교</t>
  </si>
  <si>
    <t>같은 설계의 사이트 중 누가 뒤처지고 있으며, 그 이유는 날씨인가, 설비인가, 운전인가?</t>
  </si>
  <si>
    <t>사이트 메타(용량·모델·연식·설계)
일·월 KPI(가용률, SEC, P2P, 이용률)
기상 정규화 지표
가용률 손실 분류(출력제어·통신·강제정지)</t>
  </si>
  <si>
    <t>기상·설계로 정규화한 뒤 robust z-score로 비교하고, 계층 베이지안 모형(사이트 랜덤효과)으로 표본이 적은 사이트를 안정적으로 추정한다. NREL 방식처럼 가용률·출력제어·오염·열화 손실을 따로 떼어 비교한다.</t>
  </si>
  <si>
    <t>사이트 순위표와 사분위, 손실요인별 격차(MWh·kg·원), 우수 사이트 운전 설정 요약</t>
  </si>
  <si>
    <t>우수 사이트의 설정값·정비 주기를 다른 사이트로 옮기고, 본사 정비 자원을 우선 배분한다</t>
  </si>
  <si>
    <t>NREL PV Fleet(8.5 GW, 인버터 채널 24,000개) 분석에서 시스템 가용률 중앙값은 0.99, 하위 10%는 0.95, 중앙 열화율은 −0.75%/년(오염 제외 약 −0.5%/년)이었다. 이런 피어 분포로 이상 사이트를 정량 식별할 수 있다. 수소 설비 플릿 사례는 확인하지 못했다.</t>
  </si>
  <si>
    <t>동종 사이트 3곳 이상 권장(추정), 표준화된 KPI 산식, 사이트 메타데이터, 최소 6~12개월</t>
  </si>
  <si>
    <t>EMS 운전 품질 코칭(모드 전환·기동/정지·대기 손실 분석)</t>
  </si>
  <si>
    <t>EMS가 설비를 불필요하게 자주 켜고 끄거나 대기 상태로 오래 두고 있지 않은가?</t>
  </si>
  <si>
    <t>운전상태·모드 로그
설정값과 실측
기동·정지 이벤트
대기전력(M6)
예측 아카이브·가격</t>
  </si>
  <si>
    <t>상태머신 에피소드를 추출해 일 기동수, 대기시간 분포, 짧은 체류 비율(chattering)을 통계로 본다. 사후에 실제 기상을 완전히 알았다고 가정한 반사실(counterfactual) 재최적화와 비교해 후회값(regret)을 계산한다.</t>
  </si>
  <si>
    <t>기동/정지 과다 일자, 대기 손실 kWh, 개선 임계값 권고(예: 대기 전환 최소 공백 시간, ESS 브리징 SOC 예비량)</t>
  </si>
  <si>
    <t>스택 열화 스트레스와 대기 손실을 줄이고, EMS 파라미터를 데이터로 튜닝한다</t>
  </si>
  <si>
    <t>운전상태(on/off/standby) 모델링 수준 차이만으로 연간 수소 생산이 13.5% 차이 난 시뮬레이션 사례가 있다(Baumhof 등 2023). 코칭 자체의 운영 효과는 정량 근거를 확인하지 못했다.</t>
  </si>
  <si>
    <t>상태 전이 이벤트(시각 해상도 1초 이내), 1분 전력, 예측 스냅샷, 최소 3개월</t>
  </si>
  <si>
    <t>출력제어 발생 예측과 흡수 준비</t>
  </si>
  <si>
    <t>내일 출력제어가 걸릴 확률과 시간대는? 전해조를 미리 데워 둘 것인가?</t>
  </si>
  <si>
    <t>과거 출력제어 지령 이력(사이트 로그, KPX 공공데이터)
계절·요일·공휴일
계통 수요 예보
지역 재생에너지 발전 예측
사이트 PV 예측</t>
  </si>
  <si>
    <t>그래디언트 부스팅 분류기로 시간대별 발생 확률을 내고, 조건부 회귀로 제한량을 추정한다. 결과는 스케줄링 최적화의 제약·시나리오로 넘긴다.</t>
  </si>
  <si>
    <t>시간대별 출력제어 확률, 예상 제한량(kW), 사전 hot standby·ESS 방전 권고</t>
  </si>
  <si>
    <t>버려질 PV를 수소로 전환해 매출 손실을 줄이고, 출력제어 기간의 수출 한도 위반을 방지한다</t>
  </si>
  <si>
    <t>제주는 연 100회 안팎 출력제어가 발생했고, 2023년 4월부터 호남·영남 등 육지로 확대되었다(환경일보). 흡수 효과는 정량 근거를 확인하지 못했다.</t>
  </si>
  <si>
    <t>최소 1~2년 출력제어 이력(발생·해제 시각·제한량), 계통·기상 변수</t>
  </si>
  <si>
    <t>통신·시간동기·데이터 품질 이상 탐지(게이트웨이 헬스)</t>
  </si>
  <si>
    <t>분석 결과가 이상한 이유가 설비가 아니라 데이터 때문은 아닌가?</t>
  </si>
  <si>
    <t>폴링 성공률·지연·버퍼 깊이
stale·bad 플래그
NTP 오프셋·GNSS 상태
원시 값 패턴(스케일·부호·롤오버)
장비 간 전력 급변 이벤트</t>
  </si>
  <si>
    <t>규칙 검사(10ⁿ배 계단, 음수 차분, flatline, 부호 반전)로 먼저 거른다. 게이트웨이 지표에는 다변량 이상탐지(Isolation Forest)를 쓰고, 장비 간 시간차는 공통 급변 이벤트의 교차상관으로 추정한다.</t>
  </si>
  <si>
    <t>데이터 품질 이슈 티켓, 영향받은 KPI·Finding 목록, 신뢰도 표시</t>
  </si>
  <si>
    <t>오탐을 줄이고 리포트 신뢰도를 명시하며, 게이트웨이·계량기 정비를 지시한다</t>
  </si>
  <si>
    <t>설계 근거로, NTP 정확도는 조용한 LAN에서 1 ms 이내, 인터넷 경유 시 약 5~100 ms다(NTP FAQ). 탐지 효과는 정량 근거를 확인하지 못했다.</t>
  </si>
  <si>
    <t>게이트웨이 진단 지표 1분, 이벤트 로그, 매핑 버전 이력</t>
  </si>
  <si>
    <t>정비 일정 최적화(발전·수소 손실 최소 시간대 배치)</t>
  </si>
  <si>
    <t>필요한 정비를 언제 하면 kWh·kg 손실과 인증·계약 위험이 가장 작은가?</t>
  </si>
  <si>
    <t>PV·출력제어 예측
정비 요구(Finding·CMMS 작업지시)
인력·부품 가용성
계약 급전 일정·출하 계획
고장확률 추정</t>
  </si>
  <si>
    <t>제약 스케줄링(MILP 또는 CP-SAT)을 쓴다. 비용은 기대 손실 생산량 가치와 지연 위험(고장확률×영향)의 합이다.</t>
  </si>
  <si>
    <t>2~4주 정비 캘린더 권고와 대안별 기대 손실</t>
  </si>
  <si>
    <t>계획정비를 저일사일·출력제어 예상일로 옮기고, 고장 전에 조치해 강제정지를 줄인다</t>
  </si>
  <si>
    <t>미국 DOE FEMP O&amp;M 가이드(Release 3.0)는 예지보전 프로그램이 예방보전만 할 때보다 8~12% 비용을 절감한다고 제시한다(과거 연구·산업 조사 기반 수치). 연계 수소 사이트에서의 정량 효과는 확인하지 못했다.</t>
  </si>
  <si>
    <t>정비 이력과 정지 사유 분류, 예측 아카이브, 작업 소요시간 기록</t>
  </si>
  <si>
    <t>스택 열화 추세 추정과 잔여수명(RUL)·교체 시점 예측</t>
  </si>
  <si>
    <t>이 스택은 같은 조건에서 셀 전압이 얼마나 빨리 오르고 있고, 언제 교체하는 것이 kg당 비용이 가장 낮은가?</t>
  </si>
  <si>
    <t>stack_voltage
stack_current
cell_voltage
stack_temp
cathode_pressure
h2_mass_flow
stack_run_hours
operating_state
정비·교체 이력
FAT 분극곡선</t>
  </si>
  <si>
    <t>1단계(규칙·통계): 정상상태 윈도우만 추출해 전류밀도·온도·압력 bin별 V_ref 산출 → Theil-Sen 기울기(µV/h)와 칼만필터로 추세·불확실성 추정. 2단계(물리+ML 하이브리드): U=E_rev+b·ln(j)+R·j 형태 분극모델 파라미터를 월별 재적합해 동역학·옴 손실 분리, 잔차에 CNN-LSTM/Transformer 시계열 모델 또는 막 박화 ODE를 결합한 PINN 적용. 3단계(처방): 열화 궤적을 LCOH 선형최적화에 넣어 교체 임계값·시점 산출.</t>
  </si>
  <si>
    <t>스택별 열화율(µV/h, DOE 벤치마크 대비 배수), 동역학/옴 손실 기여도, 목표 전압 도달 예상일(신뢰구간), 권장 교체 시기와 그 근거 비용</t>
  </si>
  <si>
    <t>예비 스택 조달·정비창 계획을 수개월 전 확정, 보증 청구 근거 확보, 열화 가속 구간과 운전 패턴(기동정지·고전류)을 연결해 운전 방식 교정</t>
  </si>
  <si>
    <t>CNN-LSTM이 정전류 1,140 h·기동정지 660 h 내구 데이터에서 전압 변화를 R² &gt;0.98로 예측(실험실, Energy and AI 2024). LSTM-iTransformer가 수소 생산률 감소 추세를 평균오차 0.037/0.081 mL/min(정전류/동적)으로 예측(실험실, ACS Omega 2025). 열화 스케일 불확실성만으로 비용 최적 교체 시점이 최대 9년 달라진다는 최적화 연구(arXiv 2508.16370) → 추세 정확도 자체가 경제성 변수. 상용 현장 적용의 정량 효과는 미확인.</t>
  </si>
  <si>
    <t>1 s 수집·1 min 집계, 스택당 최소 2,000~3,000 h 이상(1 mV 계측 정밀도에서 1 µV/h 검출에 약 1,000 h 필요, JRC), break-in 초기 제외, 교체·세정 이벤트 라벨, 동종 스택 풀링 시 모델·설치일 메타데이터</t>
  </si>
  <si>
    <t>셀 전압(CVM) 이상 탐지와 원인 후보 분류</t>
  </si>
  <si>
    <t>수백 개 셀 중 어느 셀이 비정상이고, 그것이 센서 문제인지 유로 막힘·단락·오염인지?</t>
  </si>
  <si>
    <t>cell_voltage
stack_current
stack_temp
anode_water_flow 또는 lye_flow
loop_conductivity
CVM 통신 상태</t>
  </si>
  <si>
    <t>규칙: 1 s 내 셀전압 급락, 중앙값 대비 편차 한계(제조사 값). 통계: 동일 bin 셀별 robust z-score(MAD), 셀별 기울기 비교, 다변량 PCA/희소 베이지안 PCA(노이즈에 강함)로 공정 이상 감지. ML: 정상 데이터로 학습한 오토인코더 재구성오차, 물리모델 추정값을 입력에 더한 physics-guided LSTM. 원인 분류는 패턴 규칙(전 셀 동시=수질·온도, 인접 셀군=유량 분배, 단일 셀 급락=단락, 값 고착·음수=CVM 결함).</t>
  </si>
  <si>
    <t>셀 위치별 이상 점수·지속기간, 원인 후보 순위와 근거 신호, 즉시 정지 필요 여부 경보</t>
  </si>
  <si>
    <t>약한 셀을 계획정비 때 교체해 스택 전체 트립·연쇄 손상을 예방, CVM 결함을 분리해 불필요 출동 감소</t>
  </si>
  <si>
    <t>산업 AWE 공정 데이터에서 변분 베이지안 희소 PCA가 강한 노이즈 오염 상태에서도 고장을 탐지(arXiv 2404.15609, J. Process Control 2024; 정확도 수치는 원문 확인 필요). 연료전지 1,000 h 동적부하 데이터에서 물리모델+LSTM이 순수 데이터기반 LSTM보다 진단 성능과 노화 강건성이 우수(J. Power Sources 2024, 유사 도메인). 전해조 현장 적용 효과(다운타임 감소 %)는 정량 근거 미확인.</t>
  </si>
  <si>
    <t>셀/그룹 전압 1 s, 셀 인덱스·스택 내 위치 메타데이터, 정상 운전 수백 시간 이상 학습 구간, 트립·정비 라벨</t>
  </si>
  <si>
    <t>효율 최적 운전점과 다스택 부하 배분</t>
  </si>
  <si>
    <t>지금 들어오는 전력으로 어떤 스택을 몇 %로 돌리면 kg당 전력(시스템 SEC)이 가장 낮고 열화·역률 제약도 지키는가?</t>
  </si>
  <si>
    <t>stack_current
stack_voltage
h2_mass_flow
rectifier_ac_power
power_factor
BoP 서브미터
stack_temp
HTO
스택별 열화 상태</t>
  </si>
  <si>
    <t>실측 데이터로 스택별 SEC(부하·온도·압력) 곡선과 정류기 효율·역률 곡선을 회귀(구간선형) → 혼합정수 최적화(MILP/MIQP) 또는 MPC로 스택 on/off·전류 배분 결정. 목적함수 = 전력비 + 열화비(µV/h×교체비) + 역률 페널티, 제약 = 최소부하·HTO·온도·램프율. 저부하 시 스택 수를 줄여 나머지를 효율 구간에 두는 로테이션 포함.</t>
  </si>
  <si>
    <t>실시간 권장 배분표, 현재 대비 절감 kWh/kg, 스택별 누적 부하·기동 균등화 지표</t>
  </si>
  <si>
    <t>동일 전력으로 수소 생산량 증가, 열화가 빠른 스택의 부담 경감, 역률 보상설비 운전 감소</t>
  </si>
  <si>
    <t>트랜지스터(IGBT) 기반 정류 토폴로지가 6펄스 사이리스터 대비 3 MW AWE의 SEC를 최대 4.5% 낮출 수 있음(Koponen 2021, J. Power Sources). 사이리스터·IGBT 정류기 혼합 구성 최적화로 수익 최대 13.78% 증가, 무효전력 보상 투자 거의 제거(arXiv 2503.17092, 시뮬레이션). 4,000 Nm³/h 다스택 AWE 산업 데이터로 검증한 MPC가 HTO ≤2%를 지키며 부하 추종(arXiv 2501.14576). 운영 현장 절감률 실측치는 미확인.</t>
  </si>
  <si>
    <t>스택별 전류·전압·유량 1 s, 정류기 AC/DC 전력·역률 1 s, 3개월 이상 다양한 부하 구간 데이터, 스택 사양·정류기 사양</t>
  </si>
  <si>
    <t>태양광 예측 연계 운전 스케줄링(대기·정지·저부하 결정)</t>
  </si>
  <si>
    <t>내일(또는 다음 몇 시간) PV 출력 예측을 보면 언제 기동하고, 구름 구간에서는 대기·정지·ESS 보조 중 무엇이 가장 이득인가?</t>
  </si>
  <si>
    <t>PV 단기예측(15분 해상도)
ESS SOC
수소 저장 압력·수요
HTO 동특성 모델
열 동특성 모델
대기전력
기동 소요시간·벤트 손실
열화비 계수
전력요금·SMP</t>
  </si>
  <si>
    <t>PV 예측(수치예보+위성+LightGBM/LSTM, 확률예측) → 롤링 호라이즌 MILP/MPC. 상태(생산·온간대기·정지)와 전환(냉간/온간 기동)을 정수변수로, 온도 1차 동특성과 HTO 누적 동특성을 제약으로 포함해 정상상태 최소부하보다 낮은 단시간 운전을 허용. 불확실성은 시나리오·강건 최적화로 반영.</t>
  </si>
  <si>
    <t>15분 단위 운전계획(설정전력·상태), 예상 생산량·kg당 비용, 기동정지 횟수 예측, 계획 대비 실적 차이 사후분석</t>
  </si>
  <si>
    <t>PV→수소 활용률 증가, 불필요 기동정지·OCV 노출 감소, 흐린 날 트립 예방, ESS 방전 최적 배분</t>
  </si>
  <si>
    <t>HTO·온도 동특성을 반영한 스케줄링: 정상상태 최소부하 34%인 AWE에서 PV 연계 시 평균 수소 +0.807%·수익 +0.982%, 풍력 직결·완벽 예측 가정 22대 플랜트 단일 시뮬레이션 수소 +7.74%·수익 +8.72%(Qiu 2023, Renewable Energy, arXiv 2301.12242). 부하 연동 압력제어로 AWE 최소부하 27.5%→10%(Qi 2021, IJHE). 풍력 예측오차 흡수로 밸런싱 에너지 20% 감소(에너지파크 마인츠 분석).</t>
  </si>
  <si>
    <t>PV 실측·예측 1 min/15 min 1년 이상, 전해조 상태·전력 1 s, 기동·대기 이벤트별 소요시간·에너지·벤트량, HTO·온도 1 s(동특성 식별), 요금·수요 데이터</t>
  </si>
  <si>
    <t>수질 이상 조기경보와 이온교환수지 교체 예측</t>
  </si>
  <si>
    <t>전도도가 한계에 닿기 전에 언제 수지를 바꿔야 하고, 최근 수질 이벤트가 스택 전압에 영향을 줬는가?</t>
  </si>
  <si>
    <t>RO/EDI/루프 이온교환기 전후 전도도
보충수량
수온
수지 교체 이력
V_ref
실험실 Fe·Cl·TOC 분석</t>
  </si>
  <si>
    <t>교체 구간별 전도도 상승 곡선 회귀·외삽으로 한계 도달일 예측, 과거 카트리지 처리량과 비교(생존분석), 전도도 초과 누적시간과 24~72 h 후 V_ref 변화의 이벤트 상관·회귀, 원수 계절성 분리.</t>
  </si>
  <si>
    <t>수지·RO막 교체 예정일, 수질 이상 경보(원인: 원수/RO/EDI/루프 부식), 수질 이벤트별 스택 영향 추정(mV)</t>
  </si>
  <si>
    <t>오염에 의한 비가역 열화 예방, 소모품 재고 최적화, 보증 분쟁 대비 수질 이력 확보, 회복 운전(전류 기반 오염 제거) 적시 요청</t>
  </si>
  <si>
    <t>급수 양이온 0.5~500 µM 오염 시 성능 손실 발생, Na·Ca 오염은 전류운전으로 거의 완전 회복·Fe는 부분 회복(NREL, J. Electrochem. Soc. 2024) → 조기 탐지가 회복 가능성을 좌우. 학술 연구의 90% 이상이 &lt;0.1 µS/cm 초순수를 쓰지만 산업 급수는 ≥5 µS/cm 수준이라 내구성이 과대평가된다는 지적(Rice 2025 perspective, 신뢰도 중간). 경보 도입에 따른 정량 효과는 미확인.</t>
  </si>
  <si>
    <t>전도도 10 s(온도보상), 보충수 적산 1 min, 교체 이벤트 라벨, 월 1회 이상 실험실 분석</t>
  </si>
  <si>
    <t>안전여유(HTO/OTH) 예측과 분석기 건전성 감시</t>
  </si>
  <si>
    <t>지금 부하·압력으로 계속 가면 몇 분 뒤 HTO가 경보·트립에 닿는가? 분석기 값은 믿을 만한가?</t>
  </si>
  <si>
    <t>HTO
OTH
stack_current
압력
온도
전해액 순환모드
Deoxo ΔT
분석기 교정 기록</t>
  </si>
  <si>
    <t>분리기 기상부 체적을 반영한 1차 지연 HTO 누적 모델을 설비 데이터로 식별 + 칼만필터로 도달시간 예측, 부하별 정상상태 HTO를 c0+c1/L로 적합해 최소 안전부하 추적. 분석기 고착(부하 변동 중 분산≈0)·드리프트는 Deoxo 발열과 OTH 교차검증 및 이중화 편차로 판정.</t>
  </si>
  <si>
    <t>HTO 경보 도달 예상시간, 최소 안전부하 추세(분기별), 분석기 신뢰도 등급</t>
  </si>
  <si>
    <t>트립 전에 부하 상향·압력 저감·대기 전환을 권고해 로크아웃 손실 방지, 격막/막 열화에 따른 운전 가능 범위 축소를 조기 인지</t>
  </si>
  <si>
    <t>HTO 누적에 시간이 걸려 정상상태 한계 34%인 AWE도 20% 부하 30분은 2% 이내 유지 가능(Qiu 2023) → 예측 기반 저부하 운전의 근거. 장기 대기 중 산소측 분리기 수소 축적 모델이 실험에서 보수적 반LEL 도달시간을 제시(Chem. Eng. Sci. 2026) → 질소 퍼지 시점 최적화 가능. 트립 감소율 등 현장 정량 효과는 미확인.</t>
  </si>
  <si>
    <t>HTO/OTH·전류·압력 1 s, 부하 변경 후 60분 이상 정착 구간 다수, 분석기 교정 이벤트, 트립 라벨</t>
  </si>
  <si>
    <t>운전 패턴 스트레스 귀속과 코칭(기동정지·OCV·램프)</t>
  </si>
  <si>
    <t>우리 사이트의 열화가 빠른 이유가 운전시간 때문인가, 잦은 기동정지·OCV 대기·급램프 때문인가? 무엇을 바꾸면 되나?</t>
  </si>
  <si>
    <t>V_ref 추세
기동·정지 이벤트
OCV 노출시간
보호전류 적용 여부
누적 |dj/dt|
고전류 운전시간
동종 사이트 데이터</t>
  </si>
  <si>
    <t>구간별 ΔV_ref = β1·운전시간 + β2·기동수 + β3·OCV시간 + β4·Σ|dj/dt| 로버스트 회귀(동종 스택 풀링, 계층 베이지안으로 소수 사이트 안정화), 정지 전·후 V_ref 분포 비교(Mann-Whitney), 사이트 간 robust z 비교.</t>
  </si>
  <si>
    <t>사이트·스택별 스트레스 요인 기여도(µV/기동 등), 운전정책 권고(최소 운전·정지시간, 대기 시 보호전류, 램프율 상한, ESS 최소부하 보조)와 예상 수명 연장</t>
  </si>
  <si>
    <t>운전 규칙 변경만으로 교체 주기 연장, 사이트 간 모범 운전 전파</t>
  </si>
  <si>
    <t>OCV 유휴를 포함한 3↔0.1 A/cm² 사이클 718회 후 HFR 약 1.6배, OCV 대신 1.3 V 유지 시 미발생(Weiß 2019, JES). 보호 없는 AWE 40회 기동정지 후 전류 유지율 87.7% vs 희생양극 보호 101.6%(JACS Au 2022, 실험실). 전류밀도 변화율 0.3 A/cm²/s에서 정상운전 대비 열화 +183%, 1 h 주기 변동은 8 h 주기 대비 +64%(Energy and AI 2026, 1차 리서치 인용·신뢰도 중간).</t>
  </si>
  <si>
    <t>상태·전류 1 s, 이벤트 정확한 타임스탬프, 스택당 6개월 이상, 동종 모델 다수 스택이면 계수 안정</t>
  </si>
  <si>
    <t>LLM 기반 발전소별 유지보수 코칭 리포트 생성</t>
  </si>
  <si>
    <t>경영진·운영자가 읽을 수 있게 이번 달 전해조 상태와 할 일을 요약해 줄 수 있나?</t>
  </si>
  <si>
    <t>위 분석들의 구조화 결과(JSON)
정비 이력
알람 로그
제조사 매뉴얼·KGS 기준 문서</t>
  </si>
  <si>
    <t>결정론적 분석 결과를 입력으로 받는 템플릿+LLM 요약(RAG로 매뉴얼·기준 조항 인용), 수치는 분석 엔진 값만 사용하도록 제한하고 근거 링크를 첨부</t>
  </si>
  <si>
    <t>사이트별 월간 리포트(핵심 지표, 이상 항목, 권고 조치 우선순위, 비용 영향, 근거 차트)</t>
  </si>
  <si>
    <t>분석 결과를 실제 작업지시로 연결, 비전공 경영진 의사결정 지원</t>
  </si>
  <si>
    <t>정량 근거 미확인(전해조 도메인 LLM 리포트 효과에 대한 공개 사례 없음). 제조사 디지털 서비스(Siemens Hydrogen Performance Suite, thyssenkrupp nucera 디지털 트윈·예지정비)도 효과 수치를 공개하지 않음.</t>
  </si>
  <si>
    <t>분석 파이프라인의 표준화된 결과 스키마, 매뉴얼·기준 문서 텍스트, 리포트 피드백 라벨</t>
  </si>
  <si>
    <t>정지유지 구간 온도·Z 보정 미세누설 조기탐지</t>
  </si>
  <si>
    <t>압력이 떨어진 게 날씨 탓인가, 실제로 수소가 새는가? 어느 뱅크·어느 지점인가?</t>
  </si>
  <si>
    <t>뱅크별 압력(절대압)
내부 가스온도·표면온도
외기·일사
밸브 리밋 상태
압축기·연료전지 운전상태
검지기 저농도 에피소드
정비·체결 기록</t>
  </si>
  <si>
    <t>물리기반+통계 하이브리드. (1) NIST(Lemmon 2008) 식으로 Z(T,P) 계산 → m = P·V·M/(Z·R·T). 주의: 기존 리서치 JSON의 계수 a7·a8·a9가 원문보다 10배 크게 적혀 있어(원문 a7=0.9588528×10⁻⁴, a8=−0.1109040×10⁻⁶, a9=0.1264403×10⁻⁹) 그대로 쓰면 450 bar·15 °C에서 Z가 1.296 대신 3.44로 계산됨 — 구현 전 NIST 검증점(300 K·10 MPa → Z=1.05985282)으로 단위테스트 필수. (2) 표면-내부 온도 열지연을 1차 열모델(칼만필터)로 추정. (3) 이벤트별 Theil–Sen 기울기 + 불확도 전파, 이벤트 계열 CUSUM/베이지안 변화점 탐지. (4) 뱅크 간 peer 비교와 운전조작-저농도 에피소드 동시발생 lift로 위치 추정.</t>
  </si>
  <si>
    <t>뱅크별 누설률(g/day, %/day)과 신뢰구간, '판정불가/의심/경보' 등급, 추정 위치 후보, 최소 탐지 가능 누설량</t>
  </si>
  <si>
    <t>휴대용 검지기·발포액 점검 대상을 좁혀 순회시간 단축, 피팅 재체결·씰 교체 권고, 재조립 후 첫 홀드 구간 자동 검증(Kjørbo형 조립불량 조기발견), 온도센서 추가 설치 투자 근거</t>
  </si>
  <si>
    <t>정량 효과 근거 미확인(현장 사례 수치 없음). 탐지 한계는 계산 가능: 0.1% FS 압력계(500 bar FS)는 450 bar에서 질량 약 0.08%, 온도 1 K 오차는 약 0.28% 질량 오차 → 단일 홀드에서는 약 0.3~0.4% 미만 감소를 판정할 수 없고 여러 이벤트 누적이 필요(NIST 식 기반 계산). 사고 측면: Kjørbo 2019는 고압 저장유닛 플러그 누출에서 시작(Nel/Gexcon)</t>
  </si>
  <si>
    <t>뱅크별 압력·가스온도 10 s 이하, 홀드 구간 6 h 이상 이벤트 최소 수십 건, 용기 내용적·용기 구성 메타, 정비·재체결 이벤트 라벨, 실제 누출 확인 결과(정답)</t>
  </si>
  <si>
    <t>압축기 예지보전(다이어프램·밸브·씰)</t>
  </si>
  <si>
    <t>압축기가 언제, 어떤 부품 때문에 멈출 것인가? 지금 비전력 증가분이 얼마의 전기요금 손실인가?</t>
  </si>
  <si>
    <t>단별 압력·온도
모터 전력·전력량
질량유량
오일 최대/최소압
누설검지 포트
진동·AE 특징
기동 횟수·운전시간
정비·부품교체 이력
흡입 O2·이슬점</t>
  </si>
  <si>
    <t>(1) 물리 기준선: 폴리트로픽 기대 토출온도, 등온/실측 비전력 비, 체적효율 지수를 압력비 bin으로 정규화. (2) 다변량 이상탐지: PCA T²/Q 통계 또는 오토인코더 재구성오차(런 이벤트 단위 특징). (3) 원인 분류: 규칙(단별 잔차 패턴) + 라벨 축적 후 그래디언트 부스팅/SVM. (4) 잔여수명: 다이어프램·패킹 교체 이력 기반 와이블 생존분석, 기동횟수·간헐운전을 공변량으로 한 Cox 모델.</t>
  </si>
  <si>
    <t>부품별 건강지수(0~100), 이상 원인 후보 순위, 교체 권장 시점(운전시간), 비전력 초과분 kWh·원 환산</t>
  </si>
  <si>
    <t>다음 계획정지에 다이어프램·밸브·패킹 교체 묶음 정비, 쇼트사이클 억제(버퍼 히스테리시스·최소 런타임) 코칭, 예비품 사전 확보로 MTTR 단축</t>
  </si>
  <si>
    <t>NREL 소매 충전소 4,663건 정비 데이터에서 디스펜서·압축기가 정비 이벤트의 67%, 69%가 비계획 정비, 씰 파손이 압축기 정지의 주원인이며 수리에 여러 명이 2시간 이상 소요, 누설검지 회로 실시간 감시로 정지 회피 가능(NREL/OSTI). 실험실 왕복동 공기압축기에서 AE 특징+SVM 밸브 결함 판정 정확도 98% 초과(Alexandria Eng. J. 2017, 수소 실기 아님). 다이어프램 압축기 AE 신호로 오일압 과다·부족 상태를 비파괴 진단(IJHE 2019). 비용 절감 % 정량 근거 미확인</t>
  </si>
  <si>
    <t>런 이벤트 최소 수백 회(기준선 약 200 운전시간), 오일압·진동은 엣지 kHz 수집, 부품교체·고장 라벨 최소 수 건(초기에는 규칙 기반), 동일 기종 다사이트 데이터 풀링 권장</t>
  </si>
  <si>
    <t>누출검지기 건전성·교정 필요 판단</t>
  </si>
  <si>
    <t>이 검지기는 지금 제대로 수소를 볼 수 있는가? 교정주기를 늘려도 되는가, 줄여야 하는가?</t>
  </si>
  <si>
    <t>검지기 원시 농도(1 s → 1 min 통계)
고장·교정 모드 상태
교정 as-found/as-left 오차·t90
외기 온습도
동일 구역 peer 검지기
설치일·방식 메타</t>
  </si>
  <si>
    <t>규칙+통계+ML. (1) 고착: 분산 0·양자화 패턴. (2) 드리프트: 일간 하위분위 배경의 Theil–Sen 기울기, 온습도 회귀로 환경영향 분리. (3) peer 잔차: 동일 구역 검지기 간 robust z. (4) 교정 as-found 오차를 경과일·센서 방식·환경 누적노출로 회귀(혼합효과 모델)해 '다음 교정 시 허용오차(FU671 경보정밀도 ±25%) 초과 확률' 예측 → 위험기반 교정주기. (5) 촉매식 피독 위험 이벤트(실리콘 작업 기록) 결합.</t>
  </si>
  <si>
    <t>검지기별 상태(정상/드리프트/고착/교정임박/감시공백), 허용오차 초과 확률, 권장 교정일, 구역별 '안전감시 공백 시간' KPI</t>
  </si>
  <si>
    <t>고장 검지기 즉시 기능점검·교체, 교정 인력 배분 최적화, 피독원 제거 코칭, 검지 커버리지 보강(설비군 둘레 10 m당 1개 기준 대비 공백)</t>
  </si>
  <si>
    <t>정량 효과 근거 미확인. 규정 기준: KGS FU671 경보정밀도 ±25%, 경보농도 1.6배에서 30초 이내. 가스센서 드리프트 보정·검출은 학술적으로 성숙한 분야(Sensors and Actuators B 2012 등)이나 수소 발전소 현장 효과 수치는 확인 못함</t>
  </si>
  <si>
    <t>원시값을 경보 이벤트만이 아니라 연속 저장(최소 1 min 통계), 교정 성적 디지털 입력(최소 1~2년, 검지기 수십 대), 검지기 방식·설치일 메타</t>
  </si>
  <si>
    <t>수소 중 산소 혼입·저출력 운전 위험 경고</t>
  </si>
  <si>
    <t>지금 수전해-버퍼-압축기 계통에 폭발성 혼합기가 만들어지고 있지 않은가?</t>
  </si>
  <si>
    <t>흡입 수소 중 O2
수전해 부하율·스택 전압
수소 순도·이슬점
버퍼 압력
일사·PV 출력
1일 1회 가스분석 기록
접지저항 점검</t>
  </si>
  <si>
    <t>규칙(법정 2 vol% 압축금지, 사내 경고 임계) + 부하율 조건부 기대 O2 모델(분리막 교차투과는 저부하에서 증가: 부하율 bin별 기준 median/MAD) + 추세 외삽으로 임계 도달 예상시간 계산 + 일사 예보 기반 '저부하 구간 예고'.</t>
  </si>
  <si>
    <t>실시간 O2 위험도, 임계 도달 예상시간, 저부하 운전 회피 권고(최소부하 설정, 정지 전환), 분석기·정제기(Deoxo) 점검 요청</t>
  </si>
  <si>
    <t>구름 많은 날 저부하 장시간 운전 금지 코칭, 정제기·분석기 이중화 투자 판단, 분리막 열화 조기 교체</t>
  </si>
  <si>
    <t>강릉 2019: 태양광 연계 수전해 버퍼탱크에 산소 약 6% 유입, 정제기 미설치·접지 미연결·저출력 운전이 원인으로 지목, 사망 2명·부상 6명(언론 보도 인용한 조사결과). 규정: 수소 중 산소 2% 이상 압축 금지, 1일 1회 가스분석(KGS FU671). 예방 효과 정량 근거 미확인</t>
  </si>
  <si>
    <t>O2 분석기 1~10 s 연속값, 수전해 부하율 동기 데이터, 가스분석 수기 기록 디지털화, 최소 수개월 다양한 일사 조건</t>
  </si>
  <si>
    <t>수소 재고·수요 예측과 압축기 운전 최적화</t>
  </si>
  <si>
    <t>내일 수소가 얼마나 생기고 연료전지가 얼마나 쓰는가? 저장이 넘치거나 바닥나지 않게 언제 압축기를 돌려야 가장 싸고 덜 마모되는가?</t>
  </si>
  <si>
    <t>PV 발전 예측(일사 예보)
수전해 효율 곡선
연료전지 급전·입찰 계획
Z보정 재고
압축기 비전력 곡선(압력비별)
시간대별 전력단가
기동횟수 제약</t>
  </si>
  <si>
    <t>예측: 그래디언트 부스팅/LightGBM 또는 시계열(Prophet·TFT)로 수소 생산량·소비량 예측(PV 예측 오차 전파). 최적화: 혼합정수선형계획(MILP)으로 압축기 on/off·뱅크 선택을 결정 — 목적함수=전력비+기동 페널티(다이어프램 피로)+재고 부족/초과 페널티, 제약=압력 상하한·충전 온도·최소 런타임. 롤링 호라이즌(15분~1시간 재계산).</t>
  </si>
  <si>
    <t>시간대별 재고 궤적과 신뢰구간, 압축기 운전 스케줄, 캐스케이드 인출 순서, 재고 부족 위험일 알림</t>
  </si>
  <si>
    <t>쇼트사이클 감소로 다이어프램 수명 연장, 저단가 시간대 압축으로 전력비 절감, 연료전지 입찰 이행률 향상, 버퍼·저장 용량 증설 판단</t>
  </si>
  <si>
    <t>정량 효과 근거 미확인(연계형 발전소 실증 수치 없음). 참고: 충전소 3단 캐스케이드는 단일 버퍼 대비 에너지 소비를 약 34% 줄였다는 연구가 있음(IJHE 2021, 원문 미열람·검색요약 기준, confidence low). 등온 압축일 30→450 bar 약 0.91 kWh/kg(계산) 대비 상용 실측 1~3.3 kWh/kg(Linde IC90/60)이라 운전점 개선 여지가 존재</t>
  </si>
  <si>
    <t>최소 1년 PV·수전해·연료전지 운전 이력(계절성), 일사 예보 API, 압축기 런별 비전력, 전력요금표, 급전계획 데이터</t>
  </si>
  <si>
    <t>경보·ESD 이벤트 분석(반복 트립·경보 홍수·바이패스 감시)</t>
  </si>
  <si>
    <t>같은 원인으로 반복 정지하고 있지 않은가? 보호기능이 무력화된 시간은 얼마인가?</t>
  </si>
  <si>
    <t>SOE first-out 로그
경보 이력
바이패스 상태
차단밸브 작동시간
작업허가
기상</t>
  </si>
  <si>
    <t>규칙 + 순차패턴 마이닝(경보 시퀀스), 연관분석(lift)으로 선행 경보-트립 관계 추출, 경보 홍수 지표(ISA-18.2류: 10분당 경보 수) 계산, 바이패스 장기화 규칙. LLM은 이벤트 타임라인을 사람이 읽는 요약으로만 변환(판정은 규칙).</t>
  </si>
  <si>
    <t>트립 원인 파레토, 반복 트립 체인, 나쁜 경보(채터링·스테일) 목록, 바이패스 누적시간 KPI, 사고 타임라인 초안</t>
  </si>
  <si>
    <t>경보 설정 합리화, 오작동 검지기 교체, 바이패스 관리 절차 강화, 불필요 트립 감소로 가용률 향상</t>
  </si>
  <si>
    <t>국내 사례: 한국가스기술공사 서산 수소충전소 SCADA 데이터에 밸브·스위치 이벤트로 운전모드를 정의하고 GMM+HMM 우도로 이상상태를 검출하는 방법이 시험됨(ICECCME 2021, 정량 효과 미확인). 일본 KHK 사고DB 분석: 누출 대부분이 정상운전 중 발생, 밸브·이음·씰 고장과 인적오류가 흔한 원인(IJHE 2025)</t>
  </si>
  <si>
    <t>ms 타임스탬프 SOE(시간 동기화 NTP/PTP), 경보 태그 사전, 작업허가 디지털 기록, 최소 6개월</t>
  </si>
  <si>
    <t>법정 점검기록 구조화와 열화경향 리포트(LLM 보조)</t>
  </si>
  <si>
    <t>수기 점검표·정비 메모 속 '이상음·미세누출·부식' 관찰이 센서 추세와 맞물려 무엇을 말하는가?</t>
  </si>
  <si>
    <t>일일점검표(FU671 3.3.4)
정비 작업지시 텍스트·사진
교정·시험 성적
센서 지표 요약
검사 일정</t>
  </si>
  <si>
    <t>LLM 기반 정보추출(자산·부위·증상·조치 엔터티 추출, 표준 코드 매핑) + 규칙 검증(누락 항목, 1일 1회 수행 여부) + 텍스트-센서 이벤트 시간 정렬. 판정·임계는 규칙/통계가 담당하고 LLM은 추출·요약만.</t>
  </si>
  <si>
    <t>구조화된 정비·점검 DB, 부위별 반복 증상 타임라인, 법정 기록 누락 알림, 발전소별 월간 코칭 리포트 초안</t>
  </si>
  <si>
    <t>FU671이 요구하는 '점검기록 검토로 열화경향 파악 및 차기 정비계획 활용'을 자동화, 검사 만기 누락 방지, 라벨 데이터 확보로 예지보전 모델 고도화</t>
  </si>
  <si>
    <t>정량 효과 근거 미확인. 필요성 근거: HIAD 2.0(706건) 분석에서 가장 심각한 사고의 공통원인이 효과적인 검사·정비 계획 부족(Computers &amp; Chemical Engineering 2023)</t>
  </si>
  <si>
    <t>점검표 양식 디지털화(모바일 입력), 과거 정비기록 스캔/텍스트, 자산 태그 사전, 개인정보 마스킹</t>
  </si>
  <si>
    <t>스택 건강상태(SoH)·잔여수명(RUL) 예측</t>
  </si>
  <si>
    <t>이 스택은 지금 몇 % 건강하고, 현재 운전 패턴이면 교체 기준(예: 정격출력 전압 10% 저하)까지 몇 운전시간·몇 개월 남았나? 운전을 바꾸면 얼마나 늘어나나?</t>
  </si>
  <si>
    <t>V@j_ref 주간 계열
누적 운전시간
기동정지·부하사이클·저부하·고출력 카운터
스택 온도·가습·λ
HFR·정기 분극곡선
회복운전·스택 교체 이력</t>
  </si>
  <si>
    <t>3단계 하이브리드로 구성한다. ① 물리 기반 반경험 분극모델(V = E0 − b·log(j/j0) − R·j − 물질전달항)을 주간 적합해 활성화(b, j0)·옴(R)·물질전달 파라미터를 건강지표로 쓴다. ② 운전 스트레스 가중 열화모델(Pei 형태 ΔV = k1·기동정지 + k2·부하변동 + k3·아이들시간 + k4·고출력시간, 계수는 사이트 데이터로 베이지안 갱신)과 확장칼만·파티클 필터로 가역·비가역 손실을 분리하고 불확실성 구간을 산출한다. ③ 데이터가 쌓이면 LSTM·TCN·Transformer로 잔차를 보정한다. 알고리즘은 FCLAB IEEE PHM 2014 공개데이터로 사전 검증한 뒤 동일 모델 fleet에 전이학습한다.</t>
  </si>
  <si>
    <t>스택별 SoH(%), RUL 분포(P10/P50/P90, 운전시간·달력일), 열화 기여 분해(기동정지·부하변동·저부하·고출력·오염), 운전 시나리오별 RUL 비교표</t>
  </si>
  <si>
    <t>스택 교체와 LTSA 예산을 고장 전에 계획하고(예비 스택 리드타임 반영), 수명 소진이 빠른 운전 패턴을 리포트로 코칭하며, 계약기간(일반수소 20년·청정수소 15년) 동안의 교체 횟수를 시뮬레이션한다.</t>
  </si>
  <si>
    <t>실험실 근거: FCLAB 5셀 스택(FC1 70 A 정전류, FC2 70 A + 10% 삼각 리플) 데이터에서 전압 3% 손실 기준 실제 RUL 63 h를 62 h로 예측했고 최종점수는 0.9671이었다(Wu et al., Electronics 2024, https://doi.org/10.3390/electronics13122335). AEKF+LSTM 하이브리드는 FC1 4% 기준 실제 247 h에 오차 3 h를 보고했다(Sensors 2023, https://pmc.ncbi.nlm.nih.gov/articles/PMC9824588/). 한계: 약 1,000 h·수 % 손실 수준의 실험실 데이터라서, 수만 시간 필드 스택의 교체비 절감 효과(%)는 정량 근거 미확인.</t>
  </si>
  <si>
    <t>초기 활성화 이후 최소 1,000~2,000 운전시간의 정상상태 윈도우, 셀 수·활성면적·BOL 분극곡선 메타, 운전 이벤트 카운터, 회복운전·교체 라벨. fleet 학습에는 동일 모델 3기 이상을 권장한다(추정).</t>
  </si>
  <si>
    <t>CVM 기반 이상 셀 탐지와 원인 분류</t>
  </si>
  <si>
    <t>수백 장 셀 중 어느 셀이 비정상이며, 그 원인이 막 핀홀·촉매 손실·국부 결핍·말단셀 열관리·센서 채널 불량 중 무엇에 가까운가?</t>
  </si>
  <si>
    <t>셀전압 배열(정상 스냅샷 + 이벤트 버스트)
스택 전류·온도·λ
퍼지 이벤트
기동 OCV
셀 위치 메타(말단·매니폴드)
제조사 시험 결과</t>
  </si>
  <si>
    <t>① 조건 bin(전류밀도·온도) 정규화 후 셀별 robust z와 공간 패턴 특징을 만든다. ② 비지도 이상탐지: 셀전압 벡터에 오토인코더 재구성오차나 Isolation Forest를 적용하고, PCA로 전 셀 공통 변화(오염·센서 오프셋)와 개별 셀 성분을 분리한다. ③ 규칙 + 그래디언트부스팅으로 원인을 분류한다: OCV 결손(크로스오버), 고전류에서만 저하(물질전달·결핍), 퍼지 직전 악화(질소·물), 전 부하 균일 저하(촉매), 비물리적 급변(채널 불량). ④ 반복 최저셀 지속도와 결합해 신뢰도를 산출한다.</t>
  </si>
  <si>
    <t>시간×셀번호 히트맵, 이상 셀 목록과 원인 확률, 확정에 필요한 시험(크로스오버 시험 등), CVM 채널 품질 플래그</t>
  </si>
  <si>
    <t>셀·모듈 단위 교체를 계획하고, 역전이 누적되는 셀은 사전에 출력을 제한하며, 채널 불량을 분리해 오경보를 줄인다.</t>
  </si>
  <si>
    <t>필드 정량 근거 미확인. 일반화 한계를 보여주는 실험실 근거: 전압 응답 기반 ML 진단은 같은 MEA에서 99~100% 정확도였으나, 다른 MEA에 적용하면 약 33%(무작위 수준)로 떨어졌고, 새 MEA 데이터 20%를 섞으면 1D-CNN이 95.1%로 회복됐다(UCL, iScience 2025, https://pmc.ncbi.nlm.nih.gov/articles/PMC12446379/). 사이트별 소량 라벨과 물리 특징 결합이 필수라는 근거다.</t>
  </si>
  <si>
    <t>셀 단위 전압(그룹 측정이면 해상도 제한), 최소 수 주의 정상 기준선, 기동 이벤트 100 ms 버스트, 셀 교체·제조사 시험 결과 라벨</t>
  </si>
  <si>
    <t>물관리 상태 진단(플러딩 vs 드라잉)</t>
  </si>
  <si>
    <t>지금 전압이 떨어진 이유가 물이 넘쳐서인가(플러딩), 막이 말라서인가(드라잉)? 온도·λ·가습 중 무엇을 바꿔야 하나?</t>
  </si>
  <si>
    <t>HFR
캐소드 차압(유량 보정 잔차)
셀전압 편차·진동 스펙트럼
캐소드 입구 이슬점
스택 온도·냉각수 ΔT
λ_air·전류
(가능 시) AC 리플·EIS 응답</t>
  </si>
  <si>
    <t>1차는 물리 규칙이다: HFR 상승은 드라잉, 차압 상승과 저주파 저항 상승 및 전압 진동은 플러딩으로 본다. 경계 사례는 경량 분류기(XGBoost·1D-CNN)가 판정한다. 사이트 간 일반화를 위해 원시 파형 대신 정규화 차압·HFR 편차 같은 물리 특징을 입력으로 쓰고 전이학습한다. EIS가 가능하면 등가회로(ECM) 파라미터를 추적한다(HEALTH-CODE 방식).</t>
  </si>
  <si>
    <t>15분 단위 물관리 상태(정상 / 플러딩 경향 / 드라잉 경향 / 판정불가)와 신뢰도, 발생 조건 통계(전류·외기·계절), 권장 설정 변경안</t>
  </si>
  <si>
    <t>여름 드라잉과 겨울 플러딩에 맞춘 계절 운전 설정을 코칭하고, 가습기·드레인 정비 우선순위를 정하며, 가역 손실을 비가역 열화로 오판하지 않게 해 RUL 정확도를 높인다.</t>
  </si>
  <si>
    <t>실험실·차량 스택에서 AC 전압 응답 + 1D-CNN으로 플러딩·드라잉과 그 정도를 분류한 정확도가 98.10%로 보고됐다(Cell Reports Physical Science 2022, https://www.sciencedirect.com/science/article/pii/S2666386422003460, 초록 기준). EU HEALTH-CODE는 연료조성 변화·공기결핍·연료결핍·황피독·플러딩/건조 5개 고장을 DC/DC 내장 EIS로 수 분 내 온보드 판정하는 도구를 개발했고, 실험 임피던스 2,300건 이상(정상 25%, 고장 75%)을 확보했다(https://cordis.europa.eu/project/id/671486/reporting). 필드 운영 개선량(%)은 정량 근거 미확인.</t>
  </si>
  <si>
    <t>HFR·캐소드 차압·이슬점 중 최소 2개(전압만으로는 구분 불가), 1 s 해상도, 플러딩·드라잉 라벨(운전원 조치 기록 또는 제조사 시험) 수십 건 이상</t>
  </si>
  <si>
    <t>BoP 예지정비(블로워·재순환·펌프·가습기·퍼지밸브·DI필터)</t>
  </si>
  <si>
    <t>다음 30~90일 안에 정지를 일으킬 가능성이 큰 보조기기는 무엇이고, 언제 교체·청소하면 되나?</t>
  </si>
  <si>
    <t>블로워 rpm·전력·유량·압력비
재순환 블로워 전류·애노드 차압
냉각수 ΔT·펌프 전력
입구 이슬점
퍼지 이벤트 특징
냉각수 전도도
필터 차압
CMMS 고장·교체 이력</t>
  </si>
  <si>
    <t>부품별 물리 기대값 모델(친화법칙 P∝Q³, 열수지, 가습 효율)의 잔차에 다변량 EWMA·CUSUM을 적용한다. 고장 이력이 쌓이면 생존분석(Weibull·Cox)과 그래디언트부스팅으로 30일 고장확률을 추정한다. 소모품은 소진을 예측한다(예: 전도도 상승 기울기로 DI 필터 교체일 산출).</t>
  </si>
  <si>
    <t>BoP 부품별 건강점수, 30·90일 고장확률, 권장 정비일, 예비품 발주 권고</t>
  </si>
  <si>
    <t>강제정지를 줄여 가용률과 HPS 계약물량 이행을 지키고, 계획정비와 묶어 정지 횟수 자체를 최소화한다(정지는 스택 열화 요인이기도 하다).</t>
  </si>
  <si>
    <t>유럽 ene.field micro-CHP 67기 분석에서 PEMFC 고장의 64%, SOFC 고장의 55%가 BoP였고, 스택 원인 정지는 PEMFC 1%, SOFC 2%였다. 90%의 설비가 95% 이상 가용했다(IEA AFC TCP 2021, https://ieafuelcell.com/wp-content/uploads/2024/11/2021-stationary-application-performance.pdf). 예지정비 투자 우선순위가 BoP여야 한다는 근거다. 연료전지 분야에서 예지정비 도입에 따른 정지 감소율은 정량 근거 미확인.</t>
  </si>
  <si>
    <t>1~10 s 설비 신호, 최소 3~6개월 기준선, 표준화된 부품 코드의 CMMS 고장·교체 라벨</t>
  </si>
  <si>
    <t>열화 인지형 운전전략 최적화(기동정지·램프율·저부하 체류)</t>
  </si>
  <si>
    <t>태양광과 수소 재고가 들쑥날쑥한데, 언제 끄고 언제 최소부하로 버티며 램프율은 얼마로 해야 수명 손실과 수익 손실의 합이 최소가 되나?</t>
  </si>
  <si>
    <t>수소 재고·수전해 생산 예측(일사 예보)
계약물량 잔량·급전 계획
SMP·열 가격
스택 열화비용 모델(SoH/RUL 분석 결과)
BoP 기생부하 곡선
기동 소요시간·기동당 수소 소비</t>
  </si>
  <si>
    <t>열화비용을 포함한 혼합정수계획(MILP) 또는 확률적 모델예측제어(MPC)를 쓴다. 목적함수 = 전력·열 수익 − 수소 비용 − Σ(기동정지·부하변동·저부하 체류·고출력 시간 × 수명 1%당 원화로 환산한 열화비용)이다. 제약은 램프율, 최소출력(셀전압 클램프 가능 범위), 수소 재고, 계약·급전 지령이다. 열화 계수는 Pei 형태 모델을 사이트 데이터로 재적합한다.</t>
  </si>
  <si>
    <t>24~72시간 운전계획(출력 곡선, 기동·정지 시점), 계획안별 수명 소모와 수익 비교, 월간 운전 스트레스 리포트</t>
  </si>
  <si>
    <t>불필요한 기동정지를 줄이고, 급격한 램프를 완화하며, OCV·저부하 고전위 체류를 피해 스택 교체 주기를 연장한다. HPS 비가격평가에 제출한 램프·최소출력 성능과 수명 보호 사이의 절충점을 정량화한다.</t>
  </si>
  <si>
    <t>자동차용 분석에서 성능 저하 기여는 부하변동 56.78%, 기동·정지 33.17%였다. 단셀 2,000사이클 실험에서 순간 스텝은 19 µV/cycle(성능 20.67% 손실), 램프 제한은 10 µV/cycle(10.72% 손실)이었다(Chandran et al., Scientific Reports 2022, https://pmc.ncbi.nlm.nih.gov/articles/PMC9763490/). Pei 2008 계수는 기동정지 0.00196%/회, 아이들 0.00126%/h, 부하변동 0.0000593%/회, 고출력 0.00147%/h다(2차 인용, https://upcommons.upc.edu/server/api/core/bitstreams/f6d57a68-e1cb-437d-91db-d205fc74234f/content). 기동 시 수소 충진 2배 가속은 탄소 손실 −48.5%, 방전 저항은 −43~63%였다(CEA 시뮬레이션, https://www.mdpi.com/1996-1073/13/9/2338). 정치형 필드에서 달성한 수명 연장률(%)은 정량 근거 미확인.</t>
  </si>
  <si>
    <t>1,000 h 이상의 운전 이벤트 카운터와 열화율, 1 min 수소 재고·수전해 생산, 일사 예보, SMP와 계약 조건, 운전 전략 변경 전후 비교 기간(A/B)</t>
  </si>
  <si>
    <t>열·전기 최적 디스패치(CHP + 태양광·ESS·수전해 연계)</t>
  </si>
  <si>
    <t>전기(SMP·계약가)와 열(판매·자가사용) 가치를 함께 봤을 때, 태양광·ESS·수전해·연료전지를 시간대별로 어떻게 돌려야 수익과 HPS 열활용 점수가 최대가 되나?</t>
  </si>
  <si>
    <t>전력·열 수요 예측
태양광 발전 예측
ESS SoC
수소 재고
SMP 예측
열 판매단가
연료전지 부분부하 전기·열 효율 곡선
계약물량 잔량</t>
  </si>
  <si>
    <t>2단계 확률적 최적화를 쓴다: 일전 MILP 계획 + 실시간 MPC 재최적화. 부분부하 효율곡선은 구간선형화하고, 일사·SMP 불확실성은 시나리오로 반영한다. 열화 인지형 운전전략 모델과 결합한다.</t>
  </si>
  <si>
    <t>시간대별 연료전지 출력·열회수·수전해·ESS 운전계획, 기대 수익, 소비원단위(kg/MWh)·열활용률 KPI, 계획 대비 실적 차이 분석</t>
  </si>
  <si>
    <t>라디에이터로 버리는 열을 줄이고, 계약물량 이행률을 확보하며, 수소 재고의 고갈·과잉을 막고, HPS 에너지효율성·열활용 가점의 근거를 만든다.</t>
  </si>
  <si>
    <t>HPS 일반수소 비가격평가의 에너지효율성은 연료투입열량 대비 열·기타 에너지 공급이 15% 이상일 때 최고 구간이다(KPX 2023.5 설명회, https://www.kpx.or.kr/boardDownload.es?bid=0042&amp;list_no=69381&amp;seq=2). 2026년 개편은 열 활용을 개선하면 가점을 부여한다(https://www.asiae.co.kr/article/2026060915313849460). 두산 M400 수소형은 전기 50%·열 35%다(https://www.doosanfuelcell.com/en/prod/prod-0102/). 디스패치 최적화에 따른 수익 개선률은 정량 근거 미확인.</t>
  </si>
  <si>
    <t>15분~1시간 해상도의 수요·가격·예측 데이터, 부분부하 효율 시험 곡선, 열 판매 계약 조건, 최소 1년 계절 데이터</t>
  </si>
  <si>
    <t>HPS 계약 이행 리스크 예측과 정비일정 최적화</t>
  </si>
  <si>
    <t>올해 계약물량을 채울 수 있나? 모자란다면 어떤 정비를 언제로 옮기거나 이월·차입 제도를 써야 하나?</t>
  </si>
  <si>
    <t>누적 송전량(15분)
계약물량·이월·차입 잔량
가용률·강제정지 이력
BoP 고장확률
스택 RUL
계획정비 일정
수소 공급 계획
SMP·열수요 계절 패턴</t>
  </si>
  <si>
    <t>강제정지는 포아송·와이블로, 출력 저하는 추세로 모델링해 몬테카를로 발전량 시뮬레이션을 돌리고 연말 이행률 분포를 구한다. 정비 일정은 제약 기반 스케줄링 최적화로 저SMP·저열수요 기간에 배치한다.</t>
  </si>
  <si>
    <t>계약 이행 확률, 부족 예상 MWh와 고정비 미회수 예상액, 정비 일정 대안 비교, 경영진용 리스크 지표</t>
  </si>
  <si>
    <t>고정비 미회수를 막고 정비 창을 최적화하며, 청정수소 시장의 물량 차입(계획예방정비 사유)을 전략적으로 활용한다.</t>
  </si>
  <si>
    <t>HPS는 계약물량 미달 시 실제 발전량에 대해서만 정산해 고정비를 회수하지 못한다(KPX 수소시장팀장, 전기저널 2024, https://www.keaj.kr/news/articleView.html?idxno=5673). 2025년 일반수소 낙찰은 180.55 MW·1,355 GWh/년으로, 계약물량이 연 설비이용률 약 86%에 해당한다(계산, 추정, https://www.dnews.co.kr/uhtml/view.jsp?idxno=202508180830309050942). 청정수소는 가동률이 보장되지 않고, 물량 차입은 계획예방정비 사유로 한정된다(https://www.shinkim.com/kor/media/newsletter/2837). 예측 모델 자체의 효과는 정량 근거 미확인.</t>
  </si>
  <si>
    <t>거래용 계량 15분 데이터, 계약 조건, 최소 1년 강제정지 이력(부족하면 동종 fleet 사전분포 사용), 정비 계획</t>
  </si>
  <si>
    <t>적응형 퍼지 전략 최적화(수소 이용률 vs 결핍 방지)</t>
  </si>
  <si>
    <t>퍼지를 너무 자주 하면 수소를 버리고, 너무 드물면 질소·물이 쌓여 셀이 결핍된다. 이 스택의 현재 상태에서 최적 퍼지 조건은 무엇인가?</t>
  </si>
  <si>
    <t>퍼지 이벤트 특징(직전 전압강하 속도, 회복량, 간격)
전류·온도
애노드 압력
수소 질량유량
배기 수소 농도
크로스오버 추정치</t>
  </si>
  <si>
    <t>질소 누적 물질수지 모델(막의 질소 투과계수를 온라인 추정)을 만들고, 안전 제약(최저셀 하한, 배기 수소 한도) 아래서 베이지안 최적화나 밴딧으로 퍼지 임계(전압강하·Ah)를 탐색한다. 제안은 제조사 허용 범위 안에서만 하며, 적용은 제조사와 협의한다.</t>
  </si>
  <si>
    <t>전류 구간별 권장 퍼지 파라미터, 예상 수소 절감(kg/월)과 전압 영향, 막 크로스오버 추세(부산물)</t>
  </si>
  <si>
    <t>수소 소비원단위를 개선하고, 결핍성 열화를 막으며, 막 열화의 조기 신호를 얻는다.</t>
  </si>
  <si>
    <t>희석 수소 공급 실험에서 비연속 퍼지는 공급 질소 10 vol%까지, 연속 퍼지는 30 vol%까지 운전 가능했고 이론 최대 연료효율은 80~100%였다(Fraunhofer ISE, Applied Energy, https://www.sciencedirect.com/science/article/abs/pii/S0306261918315563, 초록 기준). 순수소 정치형 필드에서의 절감량은 정량 근거 미확인.</t>
  </si>
  <si>
    <t>ms 단위 퍼지 밸브 이벤트, 1 s 이하의 최저·평균 셀전압, 애노드 압력, 수소 질량유량, 제어 파라미터 변경 권한 또는 협의 채널</t>
  </si>
  <si>
    <t>연료처리·고온형 스택 진단(PAFC·SOFC 도시가스형)</t>
  </si>
  <si>
    <t>탈황제는 언제 파과되나? 개질기 탄소석출이나 SOFC 연료결핍 위험은 없나?</t>
  </si>
  <si>
    <t>개질기 온도·S/C·버너 온도·배기 O2
연료 유량·열량·황화합물 농도
탈황제 충전량·운전시간
전 셀 균일 전압 하락 지표
SOFC 모듈 온도 분포·연료이용률</t>
  </si>
  <si>
    <t>탈황제 흡착용량 물질수지(누적 황 유입량/용량)로 파과일을 예측하고, 전 셀 균일 하락 이상탐지로 파과를 조기 확인한다. 개질기 효율은 잔차로 감시한다. SOFC는 모듈 온도 분포 PCA 이상탐지와 Fu 상한 근접 경보를 쓰고, 가능하면 EIS·THD 이벤트 진단(INSIGHT 방식)을 적용한다.</t>
  </si>
  <si>
    <t>탈황제 교체 예정일, 개질계통 건강점수, 연료결핍·탄소석출 경보, 모듈 교체 우선순위</t>
  </si>
  <si>
    <t>비가역 황피독을 막아 스택 수명을 보호하고, 개질촉매·모듈 교체를 계획하며, 제조사 원격관리 데이터로 LTSA 성과를 검증한다.</t>
  </si>
  <si>
    <t>EU INSIGHT(SOFC)는 EIS로 스택 수준의 연료결핍·탄소석출을 식별했고, 고장탐지 알고리즘은 5초 미만에 동작했으며, 진단 도구 원가는 시스템의 2% 미만이었다. 목표는 서비스·스택 교체비 50% 절감(TCO 10%/kWh 절감, 수명 5%·가용률 1% 향상)이며, 이는 목표치이고 필드 달성치는 미확인이다(https://cordis.europa.eu/project/id/735918/reporting). ene.field 분석에서도 개질 계통이 주요 고장원이었다(IEA AFC TCP 2021).</t>
  </si>
  <si>
    <t>FPS PLC 1~10 s 데이터, 가스 성분 정보, 탈황제 교체 기록, SOFC 모듈 온도(제조사 API 계약 필수)</t>
  </si>
  <si>
    <t>동결·저온 리스크 예측</t>
  </si>
  <si>
    <t>한파 예보 전날, 동결방지 운전과 정지 건조퍼지가 충분한가? 내일 새벽 기동이 실패할 가능성은?</t>
  </si>
  <si>
    <t>기상 예보(최저기온·풍속)
외함·냉각수 온도
정지 시 건조퍼지 종료 HFR
히터·펌프 상태
과거 저온 기동 이력</t>
  </si>
  <si>
    <t>외함·스택의 1차 열모델(냉각 시정수)과 예보로 동결 도달시간을 계산하고, 규칙과 로지스틱 회귀로 기동 실패 확률을 추정한다.</t>
  </si>
  <si>
    <t>사이트별 동결 위험 등급과 도달 예상시각, 권장 조치(가온 운전, 건조퍼지 연장, 히터 점검), 저온 기동 누적 스트레스</t>
  </si>
  <si>
    <t>동결에 따른 MEA·가습기·밸브 파손과 기동 실패(가용률 손실)를 예방하고, 동결방지 기생전력을 최적화한다.</t>
  </si>
  <si>
    <t>차량 기준 DOE 목표는 −20 °C에서 30초 내 정격 50%, 무보조 −30 °C 기동, 기동·정지 내구 5,000사이클이다(https://www.energy.gov/cmei/fuels/doe-technical-targets-fuel-cell-systems-and-stacks-transportation-applications). 정치형에서의 예방 효과는 정량 근거 미확인.</t>
  </si>
  <si>
    <t>동절기 1시즌 이상의 외함·냉각수 온도와 히터 로그, 기상청 동네예보, 기동 성공·실패 라벨</t>
  </si>
  <si>
    <t>LLM 기반 발전소별 정비 코칭 리포트 생성</t>
  </si>
  <si>
    <t>각 발전소 담당자가 이번 달 무엇을, 왜, 언제 해야 하는지 한 장으로 받아볼 수 있나?</t>
  </si>
  <si>
    <t>위 분석들의 구조화 판정 결과(JSON)
알람·정비 이력
제조사 매뉴얼·LTSA 조건
KGS·전기안전 검사 일정
KPX 정산·계약 이행 현황</t>
  </si>
  <si>
    <t>판정은 규칙·통계·ML이 담당하고, LLM은 검색증강생성(RAG)으로 매뉴얼 절차와 이력을 인용해 설명문과 조치 체크리스트를 작성한다. 수치는 템플릿 슬롯으로만 넣어 환각을 막고, 각 권고에 근거 데이터 링크를 붙인다.</t>
  </si>
  <si>
    <t>발전소별 월간 코칭 리포트(Word/PPT), 경영진 요약(가용률·이행률·SoH·원단위), 엔지니어용 상세 부록</t>
  </si>
  <si>
    <t>분석이 실제 조치로 이어지는 비율을 높이고, 담당자 간 역량 편차를 줄이며, 정비 기록을 표준화해 다음 학습 라벨로 활용한다.</t>
  </si>
  <si>
    <t>정량 근거 미확인.</t>
  </si>
  <si>
    <t>표준화된 판정 결과 스키마, 매뉴얼·절차서 전자문서, 정비이력 코드 체계</t>
  </si>
  <si>
    <t>데이터 접근성·탐지 준비도 갭 분석</t>
  </si>
  <si>
    <t>어떤 데이터(계약 조항·센서)를 확보하면 가장 많은 고장모드와 금액 효과가 풀리는가?</t>
  </si>
  <si>
    <t>자산×고장모드×필요 메트릭 매트릭스
사이트별 As-is 진단
데이터 접근성 매트릭스(보유 주체·경로·폐쇄 여부)
고장모드별 추정 손실액</t>
  </si>
  <si>
    <t>규칙 기반 충족도 계산 + 탐욕적 집합 덮개(greedy set cover)로 '비용 대비 해제되는 기대 손실액' 순위화</t>
  </si>
  <si>
    <t>사이트별 협상·설치 우선순위 목록(항목, 경로, 추정 비용, 해제되는 고장모드 수·금액)</t>
  </si>
  <si>
    <t>벤더 재협상 의제와 CT·센서 추가 예산을 근거 있게 요청하고, 수소 구매 사양서의 데이터 조항을 확정한다</t>
  </si>
  <si>
    <t>정량 근거 미확인(내부 의사결정 도구). 모니터링 데이터 소유권·접근권을 먼저 정하라는 권고는 NREL O&amp;M 3판·SolarPower Europe</t>
  </si>
  <si>
    <t>기간 무관. 리서치 카탈로그와 사이트 진단표, 계약서 조항 추출 결과</t>
  </si>
  <si>
    <t>규모별 손익분기·분석 적용 판정</t>
  </si>
  <si>
    <t>이 사이트에서 스트링 계측·드론 IR·고급 AI를 할 가치가 있는가?</t>
  </si>
  <si>
    <t>연간 발전량 E_yr
SMP·REC 가격
수집·분석 비용 항목
고장모드별 기대 회수율(보수적 할인 적용)
오탐 출동 비용</t>
  </si>
  <si>
    <t>결정론적 손익분기 r* = C/(E_yr×P_unit) + 몬테카를로 민감도(가격·회수율·오탐률 분포)</t>
  </si>
  <si>
    <t>사이트×분석 패키지별 순현재가치 분포와 '적용/보류' 판정표</t>
  </si>
  <si>
    <t>소규모 사이트 과잉 수집과 대형 사이트 과소 투자를 막는다</t>
  </si>
  <si>
    <t>비용 벤치마크: NREL ATB 2024(유틸리티 PV $22/kWac·년), IEA PVPS T13-25(드론 IR 0.5~3.0 €/모듈). 효과 수치는 해외·업체 주장이므로 국내 적용 시 할인(추정)</t>
  </si>
  <si>
    <t>1년 거래 계량과 비용 실적. 효과 계수는 파일럿 DiD로 갱신</t>
  </si>
  <si>
    <t>다벤더 알람 정규화·코드 사전 자동 매핑</t>
  </si>
  <si>
    <t>제조사마다 다른 알람 코드를 공통 이벤트·ISO 14224 고장모드로 묶을 수 있는가?</t>
  </si>
  <si>
    <t>알람 원문 코드·메시지
매뉴얼 부록 텍스트
SunSpec Evt1 표준 비트
동시 발생 텔레메트리(전압·온도·계통 주파수)</t>
  </si>
  <si>
    <t>LLM으로 매뉴얼 설명을 구조화 추출해 매핑 초안 생성 → 동시발생 텔레메트리 규칙으로 검증(예: AC 과전압 코드와 계통 전압 상승 일치) → 사람 승인</t>
  </si>
  <si>
    <t>버전 관리되는 알람 사전(code → 공통 분류, 심각도, 권장 조치, 신뢰도)</t>
  </si>
  <si>
    <t>벤더 간 트립 빈도 비교, 반복 원인 탐지, 작업지시 자동 채움</t>
  </si>
  <si>
    <t>정량 근거 미확인. O&amp;M 기록은 반구조화되어 있고 운영사마다 상세 수준이 달라 활용이 저조하다는 문제 제기는 Sandia pvOps(JOSS 2023)</t>
  </si>
  <si>
    <t>사이트별 알람 로그 3~6개월 이상, 매뉴얼 부록, 펌웨어 버전</t>
  </si>
  <si>
    <t>과거 정비 이력 구조화·신뢰등급 부여</t>
  </si>
  <si>
    <t>엑셀·종이·메신저로 흩어진 과거 이력을 학습 가능한 라벨로 바꿀 수 있는가?</t>
  </si>
  <si>
    <t>스캔 점검표·성적서
엑셀 정비대장
메신저 사진·메시지
자산 계층
발전 시계열</t>
  </si>
  <si>
    <t>OCR + LLM 구조화 추출(설비·일자·증상·조치) → 발전 시계열과 겹침 분석(pvOps text2time 방식)으로 일자·다운타임 보정 → 신뢰등급 A~D 부여</t>
  </si>
  <si>
    <t>작업지시 표준 스키마로 적재된 이력과 필드별 신뢰도</t>
  </si>
  <si>
    <t>고장 분류·생존분석·조치 효과 검증을 조기에 시작하고, 현장 이중 기록을 줄인다</t>
  </si>
  <si>
    <t>정량 근거 미확인. 전기안전관리 기록 4년 보존 의무(전기안전관리법 시행규칙 제36조)로 최근 4년치 원천은 법적으로 남아 있어야 함</t>
  </si>
  <si>
    <t>과거 2~4년 기록, 설비 목록, 발전 시계열(가능한 경우)</t>
  </si>
  <si>
    <t>보안 이상 탐지(설정 드리프트·세션 밖 변경)</t>
  </si>
  <si>
    <t>승인되지 않은 설정 변경이나 비정상 원격 연결이 있는가?</t>
  </si>
  <si>
    <t>설정 해시·전후 값
원격접속 세션 로그
인증 실패
게이트웨이 아웃바운드 목적지
동일 제조사 설비 동시 상태 변화</t>
  </si>
  <si>
    <t>규칙(세션 밖 변경, 허용목록 밖 목적지) + 포아송 빈도 검정(인증 실패) + 사이트 간 동시성 탐지(여러 사이트에서 같은 제조사가 같은 시각에 상태 변화)</t>
  </si>
  <si>
    <t>보안 finding(심각도, 증거, 격리 권고)</t>
  </si>
  <si>
    <t>사이버 사고가 대량 동시 트립 같은 물리 사고로 번지기 전에 격리·수동 운전으로 전환한다</t>
  </si>
  <si>
    <t>정량 효과 근거 미확인. NIST IR 8498 시험에서 인버터 5종 중 보안 이벤트 로깅을 완전 지원한 제품 1종 → 게이트웨이·점프 서버 로그로 보완해야 함</t>
  </si>
  <si>
    <t>보안 이벤트 스트림(데이터 계약 추가 항목), 30일 기준선</t>
  </si>
  <si>
    <t>강우·극한기상 트리거 토목·수상 점검 우선순위</t>
  </si>
  <si>
    <t>집중호우나 태풍 뒤 어느 사이트·구역을 먼저 점검해야 하는가?</t>
  </si>
  <si>
    <t>기상청 강우·풍속
입지 유형·사면 경사·배수 설계
과거 피해 이력
강우 후 절연저항·스트링 개방 공간 군집
수위</t>
  </si>
  <si>
    <t>규칙 기반 위험 점수(강우 강도×입지 취약도) + 공간 군집 탐지(DBSCAN)로 전기 신호 이상과 결합</t>
  </si>
  <si>
    <t>사이트·구역별 점검 우선순위와 체크리스트(사면·배수·기초·계류)</t>
  </si>
  <si>
    <t>토사유출·세굴·계류 파손을 조기 발견하고, 산지관리법 정기 점검 증빙을 확보한다</t>
  </si>
  <si>
    <t>정량 근거 미확인. 홍수로 기초 세굴·구조물 파손, 태풍으로 수상 PV 전복·화재 사례(IEA PVPS T13-25)</t>
  </si>
  <si>
    <t>입지 메타데이터, 기상 이력, 점검 사진 1~2년</t>
  </si>
  <si>
    <t>식생 음영 손실 추정과 예초 시점 최적화</t>
  </si>
  <si>
    <t>잡초·수목 음영으로 얼마를 잃고 있고, 언제 예초해야 하는가?</t>
  </si>
  <si>
    <t>태양 위치별 PR 잔차 히트맵
예초 이력
스트링·MPPT 전류
계절</t>
  </si>
  <si>
    <t>예초 전후 차분의 차분(DiD)으로 손실률 추정 + 성장 곡선 기반 손실 누적 모델 → 예초비와 손실 교차 시점 계산</t>
  </si>
  <si>
    <t>사이트별 월 음영 손실 kWh·원, 권장 예초 시점</t>
  </si>
  <si>
    <t>예초 주기를 달력 기준에서 손실 기반으로 바꾼다</t>
  </si>
  <si>
    <t>식생관리 비용 $0.50~1.80/kW·년(EPRI, NREL O&amp;M 3판 인용). 손실 회수 수치는 미확인</t>
  </si>
  <si>
    <t>L2(1분 MPPT·일사), 예초 이력 1시즌 이상</t>
  </si>
  <si>
    <t>변압기 DGA 추세·결함 유형 분류</t>
  </si>
  <si>
    <t>변압기 내부에 진행 중인 결함이 있는가?</t>
  </si>
  <si>
    <t>DGA 가스별 ppm 이력
유온·부하율
부분방전
절연유 시험</t>
  </si>
  <si>
    <t>IEEE C57.104·IEC 60599 해석 규칙(가스비·듀발 삼각형) + 증가율 기반 경보</t>
  </si>
  <si>
    <t>결함 유형(부분방전·저온과열·고온과열·아크)과 긴급도, 다음 시료 채취 권고일</t>
  </si>
  <si>
    <t>사이트 전체 정지로 이어지는 변압기 고장을 계획정비로 전환하고 예비 변압기 확보를 판단한다</t>
  </si>
  <si>
    <t>정량 근거 미확인. 대형 사이트에서 예비 승압변압기 보유 관행(NREL O&amp;M 3판)</t>
  </si>
  <si>
    <t>연 1회 이상 DGA 3회차 이상</t>
  </si>
  <si>
    <t>코칭 폐루프 성과 측정</t>
  </si>
  <si>
    <t>권고가 실제 조치로 이어졌고, 조치가 효과를 냈는가?</t>
  </si>
  <si>
    <t>finding 상태 전이 타임스탬프
작업지시
조치 전후 지표
대조 사이트(피어)
출력제어·기상</t>
  </si>
  <si>
    <t>상태 전이 소요시간 통계 + 차분의 차분(DiD)·베이지안 구조 시계열로 회수 kWh·kg 추정 + 반복 권고 탐지</t>
  </si>
  <si>
    <t>권고 채택률, 정탐률, 조치 리드타임, 회수 kWh·kg(신뢰구간), 반복 권고 비율, 위탁사별 KPI</t>
  </si>
  <si>
    <t>위탁 O&amp;M 인센티브 산정, 효과가 없는 권고 유형 폐기, 계약 KPI 협상 근거</t>
  </si>
  <si>
    <t>계약 가용률 최소 98%(모범사례), 예방:시정 80/20(SolarPower Europe). 회수 효과 수치는 파일럿 전 미확인</t>
  </si>
  <si>
    <t>작업지시 최소 필드 입력 3~6개월, 피어 사이트</t>
  </si>
  <si>
    <t>데이터 품질 자동 판정(Data Quality Scoring)</t>
  </si>
  <si>
    <t>이 포인트·설비·사이트 데이터를 분석과 리포트에 믿고 써도 되는가? 결측은 설비 정지 때문인가, 통신 두절 때문인가?</t>
  </si>
  <si>
    <t>원시 시계열(값·타임스탬프·품질 코드)
게이트웨이 수신 로그(seq, NTP 오프셋)
운전 상태·알람 이벤트
메트릭 카탈로그(단위·물리 범위·샘플 주기)
물리적으로 연동된 신호 쌍(일사↔출력, 전류↔수소 유량, 인버터 적산↔계량기)
정비·통신 장애 기록</t>
  </si>
  <si>
    <t>1층 규칙: 범위·고착(flatline)·스파이크(Hampel)·시계·단위 변경 검사(1차 설계 4.2절 재사용). 2층 물리 교차검증: 인버터 DC 전력×효율≈AC 전력, 인버터 적산≈거래용 계량, 패러데이 법칙 이론 수소량 대비 유량계, 일사량-출력 관계로 센서 드리프트 판정. 3층 비지도 메타 탐지: 채널별 품질 특징(결측률, 분산, 자기상관, 기준 신호와의 상관) 벡터에 Isolation Forest(격리 숲)를 적용해 규칙이 놓친 이상한 채널 발굴. 결측 원인은 Sandia pvOps처럼 생산 데이터와 정비·통신 기록을 결합해 분류. 참고 구현: NREL PVAnalytics(이상치·결측·시간 이동·방위각 추정), Sandia Pecos(품질 검사 프레임워크).</t>
  </si>
  <si>
    <t>포인트·시간 버킷별 품질 플래그와 0~1 점수, 자산·사이트별 DQ 등급, 결측 원인 라벨(통신/설비 정지/계획 정지/센서 고장), 분석 제외 구간 목록, 센서 교정·교체 권고 Finding</t>
  </si>
  <si>
    <t>일사계 세척·교정, 통신 장비 교체, 게이트웨이 버퍼 설정 개선 같은 측정 인프라 코칭. 모든 하위 AI 결과에 DQ 점수를 신뢰도 가중치로 전달해 오탐을 줄이고, 사이트별 AI 분석 가능 수준을 경영진에게 투명하게 보고.</t>
  </si>
  <si>
    <t>NREL 8.5GW PV 차량 분석에서 PVAnalytics로 이상치·결측·시간 오류를 거른 뒤 분석 가능한 채널은 81%, 가용률 분석 통과 시스템 1,128개, 오염 분석은 수작업 확인이 필요해 255개만 사용됨(https://www.nrel.gov/docs/fy24osti/88769.pdf). 품질 판정 자체의 비용 절감 % 같은 직접 정량 효과는 정량 근거 미확인.</t>
  </si>
  <si>
    <t>라벨 불필요(규칙·비지도). 원시 해상도(1초~1분)가 필요하며 집계 후에는 고착·스파이크 판별 불가. 규칙은 1주 데이터부터 작동, 계절 영향 구분에는 1년. 메타데이터: 단위, 센서 정확도 사양, 설치·교정일, 신호 간 물리 관계 정의.</t>
  </si>
  <si>
    <t>동종 설비·사이트 벤치마킹(Peer·Fleet Benchmarking)</t>
  </si>
  <si>
    <t>우리 발전소·설비는 비슷한 조건의 다른 설비보다 잘 돌아가는가? 손실 금액 기준으로 어디부터 손봐야 하는가?</t>
  </si>
  <si>
    <t>정규화 KPI(온도보정 PR, 가용률, 비에너지 kWh/kg, 왕복효율)
명판(모델·정격·설치연도)
기후대·위경도
운전 패턴 요약
손실 에너지·손실 매출 추정</t>
  </si>
  <si>
    <t>① 코호트(비교 집단) 구성: 같은 모델·같은 권역 규칙으로 시작하고, 사이트가 늘면 명판·기후·운전패턴 특징으로 k-medoids·HDBSCAN 군집. ② 코호트 안에서 로버스트 z(중앙값·MAD)와 분위수 회귀(quantile regression)로 같은 조건의 기대 범위(P50·P10) 산출. ③ 손실 kWh×(SMP+REC)로 파레토 정렬. 사이트 내 동종 비교(1차 설계)는 날씨가 자동 정규화되는 가장 강한 방법이고, 사이트 간 비교는 기상 정규화 후에만 사용.</t>
  </si>
  <si>
    <t>사이트·설비 백분위 순위표, 코호트 대비 격차(%p)와 손실 kWh·원, 손실 파레토 차트, 경영진용 포트폴리오 히트맵</t>
  </si>
  <si>
    <t>정비 인력·예산을 손실 큰 곳에 우선 배정, 하위 백분위 설비를 원인 진단 대상으로 자동 등록, 우수 사이트의 운전 설정(세정 주기·ESS SOC 운용)을 다른 사이트로 전파.</t>
  </si>
  <si>
    <t>SunEdison 450개 시스템·서비스 티켓 3,600건(27개월): 에너지 손실의 50%가 사건의 5%에서 발생, 인버터가 빈도·손실 모두 최대(https://pdfs.semanticscholar.org/7535/1afe78f698d9c94ea6f0e48183712c19a7d5.pdf). NREL 미국 PV 벤치마크: 가용률 중앙값 0.99·P90 0.95, 수명 성능지수 중앙값 0.95, 열화율 중앙값 −0.75%/년(https://www.nrel.gov/docs/fy24osti/88769.pdf). 국내 기후·출력제어 차이로 직접 비교 시 보정 필요.</t>
  </si>
  <si>
    <t>라벨 불필요. 일 단위 KPI면 충분(원천 1~15분). 사이트 내 비교는 동종 3대 이상, 사이트 간 비교는 코호트당 5곳 이상 권장(추정). 순위는 3개월, 계절 편향 제거는 1년 데이터. 명판·설치일·DC/AC 비·경사·방위·기후대 메타데이터 필수.</t>
  </si>
  <si>
    <t>통계적 공정관리 이상 탐지(SPC: EWMA·CUSUM·다변량 T²)</t>
  </si>
  <si>
    <t>정규화한 성능 지표가 평소 변동 범위를 벗어나기 시작했는가? 언제부터인가?</t>
  </si>
  <si>
    <t>조건 매칭 기준선 잔차 또는 정상거동 모델 잔차
운전 모드·제외 구간
DQ 점수</t>
  </si>
  <si>
    <t>1차 설계(4.5절)의 표 CUSUM(k=0.5, h=4~5)과 EWMA(λ=0.2~0.3)를 표준화 잔차에 적용. AI 단계에서 추가할 것: (a) 잔차를 만드는 기대값을 조건 bin 평균 → 회귀(GBM)·정상거동 모델로 고도화, (b) 관리한계를 자산별 과거 오탐률로 보정(목표 평균 런 길이 ARL), (c) 여러 신호 동시 감시는 다변량 EWMA(MEWMA) 또는 호텔링 T².</t>
  </si>
  <si>
    <t>변화 시작 추정일, 변화 방향·크기(σ 단위), 경보 에피소드와 근거 차트</t>
  </si>
  <si>
    <t>필터 막힘·오염·스택 전압 상승 같은 점진 열화를 고장 전에 발견해 계획 정비로 전환하고, 변화 시작일을 정비·설정 변경 이력과 대조해 원인을 좁힘.</t>
  </si>
  <si>
    <t>이탈리아·루마니아 6개 풍력단지 150기 SCADA에 머신러닝+SPC 적용, 비계획 정지 최대 2개월 전 이상 예측(2년 오프라인+1년 실시간 검증) (https://arxiv.org/abs/1910.09808). 태양광·수소 설비 직접 정량 효과는 정량 근거 미확인.</t>
  </si>
  <si>
    <t>라벨 불필요. 정상 기준 기간 최소 30~90일(추정), 계절 성분이 있으면 1년. 입력은 1시간~1일 집계 잔차. 출력제어·계획 정지 제외 구간 메타데이터 필수.</t>
  </si>
  <si>
    <t>다변량 비지도 이상 탐지(Isolation Forest·ECOD·PCA)</t>
  </si>
  <si>
    <t>개별 신호는 정상 범위인데 신호들의 조합이 평소와 다른 설비·운전 구간이 있는가?</t>
  </si>
  <si>
    <t>운전 에피소드별 특징 벡터(평균 전류·전압·온도·효율·편차 통계)
셀·모듈 편차 통계
기상·운전 조건</t>
  </si>
  <si>
    <t>Isolation Forest(격리 숲): 무작위 분할에서 쉽게 고립되는 점을 이상으로 판정. 선형 시간 복잡도·저메모리이고 학습 데이터에 이상이 없어도 동작. 보완: ECOD(경험적 누적분포 기반, 조정 파라미터 거의 없음), PCA 재구성 오차·T²(해석 쉬움). 운용 원칙: 원시 시점이 아니라 조건이 같은 운전 에피소드 단위 특징에 적용하고, 기여 특징(SHAP 등)을 붙여 설명. 오염률(contamination) 가정과 점수 분포를 모델 로그에 기록.</t>
  </si>
  <si>
    <t>에피소드·설비별 이상 점수와 백분위, 상위 기여 특징 3개, 신규 패턴 군집</t>
  </si>
  <si>
    <t>규칙으로 정의하지 못한 처음 보는 이상을 점검 목록에 올리고, 운영자 판정 결과를 지도학습의 씨앗 라벨로 축적.</t>
  </si>
  <si>
    <t>16개 전통·머신러닝·딥러닝 기법을 실데이터 5종에서 비교한 결과 어느 계열도 일관 우세하지 않음(https://arxiv.org/abs/2204.01637). UCR 이상 아카이브 비교에서 전통 머신러닝이 딥러닝보다 대체로 우수(https://arxiv.org/abs/2212.11080). Isolation Forest의 선형 시간·저메모리·이상 없는 학습 데이터에서도 동작 특성(https://doi.org/10.1109/ICDM.2008.17). 에너지 설비 현장 정량 효과는 정량 근거 미확인.</t>
  </si>
  <si>
    <t>학습 라벨 불필요(평가용 소량 라벨 필요). 에피소드 수백 개 이상(추정), 계절 포함 시 1년. 특징은 1~10분 원천에서 추출.</t>
  </si>
  <si>
    <t>정상거동 모델 예측잔차 탐지(NBM: GBM·LSTM·Transformer)</t>
  </si>
  <si>
    <t>현재 부하·온도·일사 조건이라면 이 설비의 온도·전압·효율은 얼마여야 하는가? 실제와의 차이가 커지고 있는가?</t>
  </si>
  <si>
    <t>목표 신호(방열판·베어링·스택 온도, 셀 평균전압, 블로워 전력)
설명 변수(부하, 외기, 냉각수 온도, 일사, 운전 모드)
정상 구간 표시(정비 이력으로 고장 전후 제외)</t>
  </si>
  <si>
    <t>건강한 기간으로 입력→목표 신호 회귀 모델을 학습하고 잔차(실측−예측)를 SPC로 감시. 모델 순서: 선형·GBM(그래디언트 부스팅, LightGBM 등) → 시간 의존이 강하면 LSTM(장단기 기억망)·Transformer. 임계값은 잔차의 비모수 동적 임계 + 경보 가지치기(pruning)로 오탐 억제. 잔차는 자산별 표준화, 설비 교체·세정 후 재학습.</t>
  </si>
  <si>
    <t>신호별 기대값·잔차 시계열, 잔차 추세와 경보(시작일·지속·크기), 영향 신호 목록</t>
  </si>
  <si>
    <t>인버터 팬·필터 막힘, 연료전지 블로워 마모, 전해조 냉각 성능 저하처럼 운전 조건 변화에 가려지는 열화를 조기 발견. 잔차를 손실 kWh로 환산해 정비 우선순위화.</t>
  </si>
  <si>
    <t>NASA JPL SMAP·MSL 텔레메트리: LSTM 예측잔차+비모수 임계에 가지치기를 더하자 정밀도 48.9%→87.5%, 재현율 84.8%→80.0%(https://arxiv.org/abs/1802.04431) — 모델 종류보다 임계·오탐 관리가 실무 성능을 좌우. 풍력 150기에서 최대 2개월 선행 예측(https://arxiv.org/abs/1910.09808).</t>
  </si>
  <si>
    <t>라벨 불필요하나 정상 구간 선별 필요. 계절을 덮는 6~12개월 학습 데이터(추정), 1~10분 해상도. 교체·세정·펌웨어 변경 이벤트 메타데이터로 재학습 트리거.</t>
  </si>
  <si>
    <t>오토인코더 기반 다채널 이상 탐지(셀 전압·CVM 배열)</t>
  </si>
  <si>
    <t>수백 개 셀(배터리 셀, 전해조·연료전지 셀전압)의 패턴 속에서 약한 셀이나 위험 셀이 생기고 있는가?</t>
  </si>
  <si>
    <t>충전·방전·운전 스냅숏(셀 전압·온도 배열, 전류, SOC)
BMS·CVM 이벤트
셀·모듈 교체 이력</t>
  </si>
  <si>
    <t>오토인코더(자기부호화기): 정상 스냅숏을 압축→복원하도록 학습하고 복원 오차가 큰 셀·시점을 이상으로 판정. 시간 동역학이 중요하면 동적 오토인코더 또는 LSTM 인코더-디코더. 셀 위치 영향을 줄이기 위해 셀 편차(개별값−랙 중앙값)를 입력으로 쓰고, 동일 랙 셀 간 비교(peer)와 병행. 경량 모델로 GPU 없이 배치 추론 가능.</t>
  </si>
  <si>
    <t>스냅숏·셀별 복원오차 점수, 이상 셀 ID와 지속 기간, 랙·모듈 위험 순위</t>
  </si>
  <si>
    <t>셀 밸런싱·모듈 교체·충전 상한 제한을 트립·화재 전에 권고. 전해조·연료전지는 특정 셀 열화 조기 발견으로 스택 전체 교체 대신 부분 정비 검토.</t>
  </si>
  <si>
    <t>전기차 347대·충전 스냅숏 69만여 개 실데이터에서 동적 오토인코더가 딥러닝 포함 기존 최신 기법보다 우수했고 예상 직접 고장·점검 비용을 낮춤(절감 비율은 초록 미기재) (https://www.nature.com/articles/s41467-023-41226-5). 정치형 ESS·수소 설비 정량 효과는 정량 근거 미확인.</t>
  </si>
  <si>
    <t>학습 라벨 불필요(평가용 확정 고장 사례 필요). 셀 단위 데이터라 저장량 큼: 평상시 1~5분 스냅숏 + 이벤트 1~10초(추정). 수개월 이상 정상 데이터, BMS 펌웨어·셀 교체 이력 메타데이터.</t>
  </si>
  <si>
    <t>고장 진단·분류(물리 특징 + 트리 모델 + SHAP 설명)</t>
  </si>
  <si>
    <t>이 이상은 어떤 고장 모드(팬 고장, 스트링 단선, IGBT 열화, 멤브레인 크로스오버 등)일 가능성이 높은가? 그렇게 판단한 근거는?</t>
  </si>
  <si>
    <t>탐지 이벤트 전후 물리 파생지표(효율, 방열판-외기 ΔT, 셀 편차, ΔV/ΔI, 패러데이 효율)
알람 코드 시퀀스
기상·운전 조건
정비 이력에서 만든 고장 라벨</t>
  </si>
  <si>
    <t>물리 기반 특징 공학 → 그래디언트 부스팅 트리(XGBoost·LightGBM) 또는 랜덤 포레스트 다중 분류. 클래스 불균형은 가중치·계층 샘플링, 사례가 적은 모드는 기타로 묶음. SHAP(샤플리 가산 설명)으로 사례별 기여 특징을 제시해 정비원이 검증. 라벨이 부족한 모드는 전문가 진단 트리(규칙)를 기본으로 두고 모델은 순위 보조. 원시 파형·장기 시퀀스가 핵심일 때만 CNN 등 딥러닝.</t>
  </si>
  <si>
    <t>고장 모드 확률 상위 3개, 판단 근거(SHAP 기여 특징), 연결된 점검 플레이북, 신뢰도</t>
  </si>
  <si>
    <t>현장 출동 전 원인 후보를 좁혀 부품·인력을 맞춰 준비(재출동 감소). 반복 고장 모드 통계로 구매 사양·설계 개선.</t>
  </si>
  <si>
    <t>실제 인버터 약 200대(5분 데이터, 약 85대 고장, 교체 103건)에 도메인 특징+ESCNN 적용 시 정확도 94% 이상·F1 약 92%, 비교 CNN-GAP 88%(단일 비공개 데이터셋 한계) (https://doi.org/10.1109/TSTE.2024.3443234). IEA PVPS 조사: PV 고장탐지 연구의 알고리즘은 인공신경망 30%, KNN 10%, 퍼지 8%, SVM·선형회귀 각 7%(https://iea-pvps.org/wp-content/uploads/2021/10/Final-Executive-Summary-IEA-PVPS-T13-19_2021_PV-Failure-Monitoring.pdf). SHAP 방법론(https://arxiv.org/abs/1705.07874).</t>
  </si>
  <si>
    <t>라벨 필수. 작업지시의 고장 코드·교체 부품·확인 원인이 라벨이며, 기록일이 실제 고장일과 어긋나므로 운전 데이터로 발생 시점 보정 필요(위 인버터 연구도 교체 기록과 운전 데이터를 결합해 고장 시점을 확정). 고장 모드당 최소 수십 건(추정), 전사 사이트 통합 학습 전제.</t>
  </si>
  <si>
    <t>정비 기록 텍스트 마이닝과 라벨 생성(TLP·LLM 구조화 추출)</t>
  </si>
  <si>
    <t>수년간 쌓인 정비일지·작업지시에서 언제 어떤 설비가 어떤 고장으로 무엇을 조치했는지 구조화된 라벨로 뽑을 수 있는가?</t>
  </si>
  <si>
    <t>작업지시 자유 서술(한국어 약어·현장 용어)
부품 교체 기록
알람 로그
생산·운전 데이터</t>
  </si>
  <si>
    <t>기술 언어 처리(TLP): 현장 용어 사전·동의어·고장 코드 체계를 먼저 만들고, 규칙+개체명 인식 또는 LLM 구조화 추출(JSON 스키마: 설비·고장 모드·조치·부품·시작/종료 시각·원문 인용)로 변환. 사람 검수 표본으로 정밀도 측정, 원문 인용 없는 추출은 폐기. 생산·알람 데이터와 시간 결합해 실제 고장 발생 시점과 손실 보정(데이터 융합, Sandia pvOps 방식).</t>
  </si>
  <si>
    <t>구조화된 고장·조치 이벤트 테이블(라벨 신뢰도 포함), 고장 모드 빈도·MTBF 통계, 라벨 검수 대기 목록</t>
  </si>
  <si>
    <t>지도학습·생존분석의 라벨 확보, 반복 고장·재작업 탐지, 정비 기록 양식 표준화 코칭(코드 선택형 입력).</t>
  </si>
  <si>
    <t>NIST 연구진 등은 정비 문서가 자산관리 데이터의 큰 비중인데 일반 NLP 도구로는 검증·신뢰가 부족해 도메인 사전·엔티티 정의·주석 데이터가 필요하다고 제시(https://doi.org/10.1016/j.mfglet.2020.11.001). Sandia pvOps는 텍스트 정비 기록과 생산 데이터를 결합해 PV 운영 평가를 개선(https://github.com/sandialabs/pvOps). 라벨 비용 절감 정량 수치는 정량 근거 미확인.</t>
  </si>
  <si>
    <t>과거 정비 기록 전량(2~3년 이상 권장, 추정), 설비 ID 매핑표, 고장 모드 분류 체계. LLM 사용 시 외부 전송 정책 결정 선행. 검수용 라벨 수백 건(추정).</t>
  </si>
  <si>
    <t>운영자 피드백 기반 능동학습(Active Learning)</t>
  </si>
  <si>
    <t>AI 경보 중 무엇이 진짜였고, 다음에 무엇을 사람에게 물어봐야 모델이 가장 빨리 좋아지는가?</t>
  </si>
  <si>
    <t>Finding과 운영자 판정(유효·오탐·모름+원인 코드)
모델 점수·불확실성
조치 결과</t>
  </si>
  <si>
    <t>경보 카드에 1클릭 판정을 받아 라벨로 저장. 불확실성 샘플링(점수 경계 사례 우선)으로 검토 요청 순서 결정. 오탐 사유(출력제어·센서·계획 정지)는 제외 규칙으로 자동 환원. 탐지기별 정밀도·재현율·선행시간을 월별 추적해 섀도→운영 전환과 퇴출을 결정.</t>
  </si>
  <si>
    <t>라벨 데이터셋, 탐지기별 정밀도·오탐률 추이, 우선순위 검토 목록, 제외 규칙 후보</t>
  </si>
  <si>
    <t>오탐 피로 감소로 경보 신뢰 회복, 라벨 축적 가속으로 비지도→지도학습 전환 시점 단축.</t>
  </si>
  <si>
    <t>NASA JPL 사례에서 경보 가지치기·오탐 완화로 정밀도 48.9%→87.5% 개선(https://arxiv.org/abs/1802.04431). 능동학습 자체의 에너지 O&amp;M 정량 효과는 정량 근거 미확인.</t>
  </si>
  <si>
    <t>콘솔 UI 피드백 수집 필수. Finding 단위 라벨(판정자·시각·근거). 통계적으로 의미 있으려면 월 수십 건 이상 판정(추정).</t>
  </si>
  <si>
    <t>열화 추세 정량화(Theil–Sen·YoY·CODS)</t>
  </si>
  <si>
    <t>성능이 1년에 몇 %씩 떨어지고 있고 그 속도가 정상 범위인가? 회복 가능한 손실(오염)과 비가역 열화를 구분할 수 있는가?</t>
  </si>
  <si>
    <t>기상 정규화 성능 지표(PR, 유효용량, 기준 전류 셀전압)
강우·세정 이벤트
누적 운전시간</t>
  </si>
  <si>
    <t>1차 설계의 Theil–Sen(이상치에 강한 기울기)과 YoY(1년 간격 쌍 변화율 중앙값+부트스트랩) 적용. PV는 NREL RdTools의 CODS(열화와 오염 동시 분리)로 회복 가능한 오염 손실 분리. 전해조·연료전지는 누적 운전시간 축 μV/h. 모든 결과를 신뢰구간과 함께 제시.</t>
  </si>
  <si>
    <t>자산별 열화율(%/년 또는 μV/h)·95% 신뢰구간, 코호트 대비 백분위, 보증 기준 초과 여부, 오염 손실률</t>
  </si>
  <si>
    <t>모듈·배터리 보증 청구 근거, 세정·교체 투자 판단, 재무 모델에 실측 열화율 반영.</t>
  </si>
  <si>
    <t>NREL(8.5GW): RdTools YoY 열화율 중앙값 −0.75%/년, 연간 성능지수 기반 PLR −0.5~−0.75%/년, CODS로 오염 분리 시 약 −0.5%/년 — 성능 손실 일부는 회복되지 않은 주기적 오염 때문(https://www.nrel.gov/docs/fy24osti/88769.pdf).</t>
  </si>
  <si>
    <t>라벨 불필요. PV 열화율은 2년 이상 데이터(NREL RdTools 조건). 일 단위 정규화 지표면 충분(원천 1~15분, 일사계·모듈온도 포함). 강우·세정·교체 이벤트 필수. 전해조 초기 길들이기(break-in) 구간 제외.</t>
  </si>
  <si>
    <t>상태 추정·잔여수명(RUL) 예측: 칼만필터·파티클필터</t>
  </si>
  <si>
    <t>측정할 수 없는 내부 상태(배터리 실용량, 스택 저항)의 현재 값은 얼마이고, 교체 기준 도달까지 얼마나 남았는가(확률로)?</t>
  </si>
  <si>
    <t>관측 신호(전압·전류·온도·유량)
조건 매칭 건강 지표 이력
물리 열화 모델 형태(선형·지수·가속)
교체 기준(SOH 80%, 셀전압 상한 등)
제조사 데이터시트·가속시험 값</t>
  </si>
  <si>
    <t>상태공간 모델: 상태=열화 파라미터(용량, 저항, 전압 상승률), 관측=측정 지표. 선형·가우시안에 가까우면 칼만필터(확장 EKF·무향 UKF), 비선형·비가우시안·회복 현상이 있으면 파티클필터(입자 필터)로 사후분포 갱신. 미래 궤적을 다수 샘플링해 기준 도달 시점 분포=RUL(잔여 유효수명) P10/P50/P90 산출. 연료전지는 운전 중 전압 회복 현상을 반영한 결합 파티클필터 사례 존재.</t>
  </si>
  <si>
    <t>건강 지표 현재 추정치와 불확실성, RUL 분포(P10/P50/P90), 교체 권장 시점 확률, 모델 갱신 이력</t>
  </si>
  <si>
    <t>스택·배터리 모듈 교체와 예비품 발주를 확률 기준으로 계획하고 CAPEX 예산 편성 근거로 사용.</t>
  </si>
  <si>
    <t>배터리 건전성 감시에 베이지안(파티클필터) 예지 프레임워크 적용(https://doi.org/10.1109/TIM.2008.2005965), PEMFC 스택 출력 노화 예측에 회복 현상을 반영한 결합 파티클필터 적용(https://doi.org/10.1109/TR.2015.2454499). 현장 비용 절감 정량 수치는 정량 근거 미확인.</t>
  </si>
  <si>
    <t>고장 라벨은 불필요하지만 교체 기준 정의와 초기 파라미터 필요. 전해조·연료전지는 수천 운전시간 추세(1mV 분해능으로 1μV/h 변화를 보려면 산술적으로 1,000시간), 배터리는 수백 사이클 추세. 입력은 일~주 단위 조건 매칭 지표.</t>
  </si>
  <si>
    <t>가우시안 프로세스 열화 예측(소표본·불확실성 정량)</t>
  </si>
  <si>
    <t>데이터가 적은 신규 설비에서도 열화 곡선과 그 불확실성을 믿을 만하게 그릴 수 있는가?</t>
  </si>
  <si>
    <t>유효용량·전압 상승 등 건강 지표 시계열
운전 조건(온도·C-rate·부하율)
동종 설비의 과거 열화 곡선(사전 정보)</t>
  </si>
  <si>
    <t>가우시안 프로세스 회귀(GPR): 평균 곡선과 신뢰구간을 함께 내는 비모수 베이지안 회귀. 커널에 선형(추세)+RBF(비선형)+주기(계절) 성분을 조합하고, 동종 설비 곡선을 평균 함수·사전분포로 사용해 소표본 문제 완화. 운전 조건을 입력 차원에 넣어 조건별 열화 차이 반영. 표본이 커지면 희소 GP로 전환.</t>
  </si>
  <si>
    <t>건강 지표 예측 곡선(평균±2σ), 기준 도달 시점 분포, 운전 조건 민감도</t>
  </si>
  <si>
    <t>운전 1~2년 차 설비의 교체·보증 판단을 불확실성과 함께 제시해 과잉·과소 대응을 막음.</t>
  </si>
  <si>
    <t>GP 회귀가 불확실성을 원칙적으로 다루고 사전 정보를 활용할 수 있어 배터리 SOH·잔여수명 예측에 유리함을 제시(https://doi.org/10.1016/j.jpowsour.2017.05.004). 현장 정량 효과는 정량 근거 미확인.</t>
  </si>
  <si>
    <t>라벨 불필요. 자산당 수십 개 이상의 건강 지표 관측점(주·월 단위 조건 매칭 결과). 동종 설비 곡선이 있으면 정확도 향상.</t>
  </si>
  <si>
    <t>생존분석으로 부품 수명·교체 수요 예측(와이블·Cox 비례위험)</t>
  </si>
  <si>
    <t>인버터 팬·IGBT·스택·밸브·센서가 몇 년 차에 얼마나 고장 나는가? 고온·잦은 기동이 수명을 얼마나 줄이는가? 내년 예비품은 몇 개 필요한가?</t>
  </si>
  <si>
    <t>부품 설치일·교체일·고장 여부(미고장은 검열)
부품 모델·제조사
누적 스트레스 지표(고온 시간, 열 사이클, 기동·정지 횟수, 누적 Ah·운전시간)</t>
  </si>
  <si>
    <t>와이블(Weibull) 분포 적합으로 형상모수를 보고 초기고장·우발·마모 구간 판단 → Kaplan–Meier 생존곡선 → Cox 비례위험 또는 가속수명(AFT) 모델로 스트레스 공변량 효과 추정. 아직 고장 나지 않은 부품은 우측 검열로 반드시 포함(제외하면 수명 과소추정). 결과 분포는 정비 최적화·시뮬레이터의 고장 확률 입력으로 재사용.</t>
  </si>
  <si>
    <t>부품별 생존곡선·고장률(hazard), 연도별 예상 고장 수·예비품 수량, 스트레스 요인별 위험비</t>
  </si>
  <si>
    <t>예비품 재고 최적화, 제조사·모델 선택(구매 사양), 고온 운전 회피·기동 횟수 제한 같은 운전 정책 근거.</t>
  </si>
  <si>
    <t>EPRI BESS 고장 DB: 연령이 알려진 고장의 72%가 시공·시운전·운전 첫 2년 내 발생 — 초기고장 구간 관리가 중요(https://www.epri.com/research/products/000000003002030360). 방법 참고 NIST 신뢰성 핸드북(https://www.itl.nist.gov/div898/handbook/apr/apr.htm). 생존분석 도입에 따른 비용 절감은 정량 근거 미확인.</t>
  </si>
  <si>
    <t>부품 단위 설치·교체 이력(시리얼 번호)과 고장 여부가 사실상 라벨. 부품 모델별 고장 사례 수십 건 이상(추정)이라 전사 통합 필요. 스트레스 지표는 1일 해상도면 충분. 초기에는 제조사 MTBF·보증 자료로 사전분포 설정.</t>
  </si>
  <si>
    <t>초기 운전 데이터로 수명 조기 예측(머신러닝·딥러닝)</t>
  </si>
  <si>
    <t>시운전·초기 몇 달 데이터만으로 이 배터리·스택이 평균보다 빨리 늙을 개체인지 알 수 있는가?</t>
  </si>
  <si>
    <t>초기 사이클 전압곡선 특징(방전곡선 차이 분산, dQ/dV 피크)
초기 셀 편차
시운전 성능시험 결과
제조 로트</t>
  </si>
  <si>
    <t>초기 구간 특징 추출 → 정규화 선형회귀(Elastic Net)·GBM으로 수명 회귀 또는 조기열화 분류. 데이터가 커지면 1D-CNN. 실험실 조건과 현장 조건(부분 충방전·온도 변동) 차이가 커 제조사·공개 데이터 사전학습 후 자사 데이터로 재보정(전이학습) 필수.</t>
  </si>
  <si>
    <t>개체별 예상 수명 등급·확률, 주의 개체 목록</t>
  </si>
  <si>
    <t>초기 불량 개체 조기 교체·보증 청구, 주의 개체에 보수적 운전(SOC 창 축소) 적용.</t>
  </si>
  <si>
    <t>LFP 셀 124개(수명 150~2,300 사이클): 첫 100사이클로 수명 예측 시험 오차 9.1%, 첫 5사이클로 2군 분류 오차 4.9%(실험실 급속충전 조건) (https://www.nature.com/articles/s41560-019-0356-8). 조기 예측+베이지안 최적화로 224개 충전 프로토콜 탐색을 500일 이상→16일로 단축(https://www.nature.com/articles/s41586-020-1994-5). 정치형 ESS 현장 효과는 정량 근거 미확인.</t>
  </si>
  <si>
    <t>수명 종료까지 간 사례(라벨)가 필요해 자사 데이터만으로는 수년 소요. 초기 사이클 고해상도(1~10초) 전압·전류, 제조 로트·시운전 기록.</t>
  </si>
  <si>
    <t>발전량·부하·가격 예측(물리+머신러닝, 확률 예측)</t>
  </si>
  <si>
    <t>내일 시간대별 태양광 발전량, 전해조·연료전지 가동에 필요한 부하, SMP는 얼마이고 얼마나 불확실한가?</t>
  </si>
  <si>
    <t>수치예보(일사·운량·기온)
과거 발전량·계량
출력제어 이력
설비 가용 상태
SMP·REC 가격 이력
달력(휴일)</t>
  </si>
  <si>
    <t>물리 모델(pvlib: 태양 위치·청천 일사·경사면 변환·DC/AC) 출력에 수치예보 오차를 GBM·신경망으로 보정하는 하이브리드. 분위수 회귀로 P10/P50/P90 확률 예측. 사이트 데이터가 부족한 초기에는 사전학습 시계열 파운데이션 모델(Chronos, TimesFM)의 제로샷 예측을 베이스라인으로 사용. nMAE·예측제도 오차율로 평가하고, 예측 기대값을 이상 탐지 기준선으로 재사용.</t>
  </si>
  <si>
    <t>시간별 확률 예측, 예측 오차 리포트, 기대 대비 실제 발전 차이(손실 추정)</t>
  </si>
  <si>
    <t>재생에너지 발전량 예측제도 정산금 확보, ESS 충방전·전해조 가동 계획의 입력, 기대 대비 저발전 조기 발견.</t>
  </si>
  <si>
    <t>Google DeepMind: 미국 풍력 700MW에 36시간 앞 신경망 예측과 전일 약정 적용으로 풍력 가치 약 20% 향상(자사 발표) (https://deepmind.google/blog/machine-learning-can-boost-the-value-of-wind-energy/). 국내 예측제도: 오차율 8% 이하 시 3~4원/kWh 정산(https://www.industrynews.co.kr/news/articleView.html?idxno=39594). Chronos는 42개 데이터셋 벤치마크에서 학습에 없던 데이터에도 전용 학습 모델과 비슷하거나 더 나은 제로샷 성능(https://arxiv.org/abs/2403.07815).</t>
  </si>
  <si>
    <t>라벨은 실측값(자동 생성). 최소 1년 15분~1시간 계량, 기상청 관측·예보, 출력제어 구간 표시. 가격 예측은 SMP 수년치.</t>
  </si>
  <si>
    <t>정비 일정 최적화(위험 기반·기회 정비 묶음)</t>
  </si>
  <si>
    <t>제한된 인력·차량으로 어느 사이트의 어떤 작업을 언제 묶어서 해야 손실+비용이 최소인가? 세정은 언제 하는 게 이득인가?</t>
  </si>
  <si>
    <t>Finding(심각도·신뢰도·RUL 분포)
손실 추정(kWh·원/일)
작업 소요시간·필요 기술
인력·차량·이동거리
기상 예보(작업 가능일)
부품 재고·리드타임
SMP·REC 가격
법정 검사 일정</t>
  </si>
  <si>
    <t>① 기대 손실=고장 확률×(정지 손실+2차 피해) ② 작업 후보별 지연 비용 곡선 생성 ③ 혼합정수선형계획(MILP)·제약 프로그래밍으로 배정·경로·일정 최적화(같은 사이트·같은 기간 작업 묶음=기회 정비). 세정은 누적 오염 손실 금액이 세정 비용을 넘는 시점으로 결정. 초기에는 규칙형 우선순위 점수(심각도×손실×신뢰도)로 시작해 최적화로 확장.</t>
  </si>
  <si>
    <t>주간·월간 작업 계획(사이트·작업·담당·날짜), 작업별 기대 절감액, 세정 권장일, 예비품 발주 목록</t>
  </si>
  <si>
    <t>출동 횟수·이동 비용 감소, 고손실 작업 우선 처리, 계획 정비 비중 확대로 비계획 정지 감소.</t>
  </si>
  <si>
    <t>해상풍력 수치 예제에서 예측 분석 기반 동적 기회 정비 전략이 기존·단순 전략 대비 연간 정비비 39.24%·32.46% 절감(시뮬레이션) (https://doi.org/10.1016/j.rser.2019.03.049). DOE O&amp;M 가이드: 예지보전은 예방보전 대비 8~12% 비용 절감(https://www.energy.gov/sites/prod/files/2020/04/f74/omguide_complete_w-eo-disclaimer.pdf).</t>
  </si>
  <si>
    <t>라벨 불필요. 비용 파라미터(작업 단가·이동 시간·정지 손실 단가)와 표준 작업 시간 필요. 작업 시간 분포 추정에 정비 이력 1~2년. 입력은 일 단위.</t>
  </si>
  <si>
    <t>운전 최적화(MPC·수리최적화 → 강화학습)</t>
  </si>
  <si>
    <t>태양광 잉여 전력을 ESS 충전·전해조 수소 생산·계통 판매 중 어디에 얼마나 보내야 수익과 설비 수명을 함께 최적화하는가?</t>
  </si>
  <si>
    <t>발전량·가격 확률 예측
ESS SOC·열화 비용 모델
전해조 부분부하 효율·최소부하·기동 비용
수소 저장 수위·수요
연료전지 효율
계통·출력제어 제약
REC 가중치 규칙</t>
  </si>
  <si>
    <t>1단계: 결정론적 MILP·MPC(모델 예측 제어)로 15분~1시간 롤링 최적화, 열화 비용(사이클 깊이·전해조 기동 횟수)을 목적함수에 포함. 2단계: 확률 예측을 반영한 확률적 최적화. 3단계(연구): 강화학습(RL)은 디지털 트윈·시뮬레이터에서만 학습·검증하고 권고 모드로 최적화 결과와 비교 운용. 실제 제어는 안전 제약 필터를 거친 최적화 결과를 사용하며 PLC·안전 인터록 계층에는 개입하지 않음.</t>
  </si>
  <si>
    <t>시간대별 운전 권고(충방전 전력, 전해조 부하, 저장·판매량), 기대 수익·열화 비용, 권고 대비 실제 운전 비교</t>
  </si>
  <si>
    <t>가격 차익·REC 수익 증대, 전해조 잦은 기동·저부하 운전 감소로 열화 억제, ESS 과도 사이클 방지.</t>
  </si>
  <si>
    <t>영국 도매가격 이력에서 배터리 열화 모델을 포함한 심층 강화학습 차익거래를 MILP 기준과 비교해 효과 입증(비율 초록 미기재) (https://doi.org/10.1109/TSG.2020.2986333). 유사 분야: DeepMind 데이터센터 냉각 운전 권고로 냉각 에너지 최대 40%·PUE 오버헤드 15% 절감(https://deepmind.google/discover/blog/deepmind-ai-reduces-google-data-centre-cooling-bill-by-40/). 태양광-수소 연계 실사업 정량 효과는 정량 근거 미확인.</t>
  </si>
  <si>
    <t>라벨 불필요. 검증된 설비 모델(효율 곡선·열화 비용)과 최소 1년 운전·가격 데이터, 실제 운전 결정(설정값) 이력. 강화학습은 시뮬레이터 필수.</t>
  </si>
  <si>
    <t>디지털 트윈(물리 모델 + 데이터 동화)</t>
  </si>
  <si>
    <t>설계대로라면 지금 얼마를 내야 하고, 측정되지 않는 내부 상태는 어떤지, 설정을 바꾸면 어떻게 될지 가상으로 확인할 수 있는가?</t>
  </si>
  <si>
    <t>설계·명판 파라미터
물리 모델(PV: pvlib, ESS: 등가회로·PyBaMM, 전해조: 분극곡선·물질수지, 탱크: 실기체 상태방정식)
실시간 측정
정비·교체 이벤트</t>
  </si>
  <si>
    <t>물리 모델을 기본으로 두고 칼만필터·파티클필터·베이지안 보정으로 파라미터(오염률, 내부저항, 교환전류밀도 등)를 측정값에 계속 맞춤(데이터 동화). 물리로 설명 안 되는 잔차만 머신러닝으로 학습하는 하이브리드(물리 정보 머신러닝). 검증·확인·불확실성 정량화(VVUQ) 기록 필수. 초기 범위는 성능 트윈(기대 출력·효율)과 가상 센서로 한정.</t>
  </si>
  <si>
    <t>기대 성능 대비 실측 비교, 가상 센서 값(추정 내부 상태), what-if 시뮬레이션, 고장 주입 합성 데이터</t>
  </si>
  <si>
    <t>설정 변경·운전 전략을 실설비 적용 전 검증, 센서 없는 지점 감시, AI 탐지기 검증용 데이터 생성.</t>
  </si>
  <si>
    <t>미국 국립아카데미(NASEM)는 디지털 트윈을 물리 대상과 계산 모델이 양방향 데이터 흐름으로 동적으로 갱신되는 체계로 정의하고 VVUQ를 핵심 과제로 제시(https://www.nationalacademies.org/publications/26894). 물리 정보 머신러닝은 잡음 있는 데이터와 물리 법칙을 결합해 적은 데이터 문제를 완화(https://www.nature.com/articles/s42254-021-00314-5). 에너지 O&amp;M 비용 절감 정량 수치는 정량 근거 미확인.</t>
  </si>
  <si>
    <t>라벨 불필요. 설계 데이터(모듈 사양, 스택 셀 수·면적, 탱크 용적), 교정된 센서, 1분 이하 운전 데이터, 모델 검증용 성능시험·시운전 기록.</t>
  </si>
  <si>
    <t>컴퓨터 비전: 드론 열화상·EL·육안 점검 사진</t>
  </si>
  <si>
    <t>수만 장 모듈 중 핫스팟·셀 크랙·바이패스 다이오드 고장·오염·파손 모듈은 어디에 있고 손실은 얼마인가? 점검 사진에서 부식·누유·케이블 손상을 자동으로 찾을 수 있는가?</t>
  </si>
  <si>
    <t>드론 열화상(방사 원본)·가시광 정사영상
야간 EL 이미지
비행 메타데이터(GPS·고도·시각)
촬영 시 일사·풍속·모듈온도
모듈·스트링 배치도
현장 점검 사진·체크리스트</t>
  </si>
  <si>
    <t>① 정사영상·GPS로 모듈 ID 매핑 ② 경량 CNN·YOLO류 객체 탐지로 모듈·이상 영역 검출, 결함 유형 분류(단일 셀 핫스팟, 서브스트링, 모듈 전체, 오염) ③ 온도차 ΔT 등급화 ④ 스트링 전류·인버터 데이터와 결합해 손실 추정. EL은 셀 단위 CNN 분류. 사전학습 모델 전이학습으로 라벨 부족 완화. 촬영 조건은 IEC TS 62446-3(야외 PV 열화상) 요구 준수 여부를 기록. 점검 사진은 멀티모달 LLM으로 체크리스트 항목을 추출하고 사람이 확인.</t>
  </si>
  <si>
    <t>모듈 단위 결함 지도·목록(유형·ΔT·위치), 결함별 추정 손실 kWh/년, 교체·보증 청구 후보, 회차 간 결함 진행 비교</t>
  </si>
  <si>
    <t>모듈 교체·세정·음영 제거 우선순위화, 보증 청구 증빙, 점검 시간 단축과 전수 점검 주기 단축.</t>
  </si>
  <si>
    <t>IEA PVPS: 4MWp 발전소 열화상 점검 휴대형 카메라 15~20시간 vs 드론 5~10시간, 항공 열화상 순촬영 시간당 2~3MWp(https://iea-pvps.org/wp-content/uploads/2020/01/Review_on_IR_and_EL_Imaging_for_PV_Field_Applications_by_Task_13.pdf). EL 셀 1,968개 분류에서 CNN 88.42%·SVM 82.44%(https://arxiv.org/abs/1807.02894). EL 사전학습→열화상 전이학습 99.23%(실험실 유도 결함 데이터라 현장 성능은 낮을 수 있음) (https://doi.org/10.1016/j.solener.2020.01.055).</t>
  </si>
  <si>
    <t>라벨 필수(결함 유형 바운딩박스·클래스): 외주 점검 보고서 결함 목록을 라벨로 재활용. 연 1~2회 촬영, 촬영 조건 기록, 방사 원본 보존. 모듈 배치도·ID 체계 선행.</t>
  </si>
  <si>
    <t>전이학습·연합학습(사이트·설비 간 데이터 부족 해결)</t>
  </si>
  <si>
    <t>고장 사례가 적은 신규 사이트·신규 설비(수전해·연료전지)에서도 다른 사이트나 외부 데이터로 학습한 모델을 쓸 수 있는가? 데이터를 내보내지 않고 협력 학습이 가능한가?</t>
  </si>
  <si>
    <t>기존 사이트 학습 모델·특징
신규 사이트 소량 데이터
공개·제조사 데이터
사이트 메타데이터(모델·기후)</t>
  </si>
  <si>
    <t>전이학습: 데이터가 많은 사이트(또는 공개 데이터)로 사전학습 → 신규 사이트 소량 데이터로 미세조정. 입력을 정격 대비 비율 등 무차원화해 사이트 차이 축소, 도메인 적응으로 기후·모델 차이 보정. 연합학습(FedAvg): 데이터는 각 조직에 두고 모델 가중치만 교환. 자사 사이트 데이터는 이미 중앙에 모이므로 필요성이 낮고, 제조사·타 발전사 협력이나 데이터 반출 제한이 있을 때만 검토. 이질적인 사이트를 무리하게 묶지 말고 같은 모델·유사 조건끼리 묶음.</t>
  </si>
  <si>
    <t>신규 사이트 초기 모델(콜드스타트 단축), 사이트별 미세조정 모델, 협력 학습 성능 비교 보고</t>
  </si>
  <si>
    <t>신규 사이트가 1년 데이터를 기다리지 않고 조기 이상 탐지 시작, 희소 고장 모드(수소 설비) 탐지 보강.</t>
  </si>
  <si>
    <t>풍력 NBM 연합학습: 여러 터빈 연합학습이 단일 터빈 모델보다 일관 우수(특히 데이터 부족 시)하고 필요한 이력 데이터 양을 줄였으나, 이질적인 여러 단지 간 협력은 같은 단지 내 협력보다 성능이 낮을 수 있음(https://doi.org/10.1109/ACCESS.2025.3599360). 인버터 고장예지 연구도 데이터가 적은 회사에는 공개 모델 미세조정을 권고(https://doi.org/10.1109/TSTE.2024.3443234). 연합학습 원 알고리즘(https://arxiv.org/abs/1602.05629).</t>
  </si>
  <si>
    <t>원천 사이트 1년 이상 데이터와 라벨, 신규 사이트 수주~수개월 정상 데이터. 표준 메트릭 카탈로그·단위(데이터 계약)가 전제. 연합학습은 참여 조직 간 동일 특징 정의 필요.</t>
  </si>
  <si>
    <t>합성 데이터·시뮬레이터 기반 탐지기 검증</t>
  </si>
  <si>
    <t>실제 고장이 아직 없는데 탐지기가 몇 % 크기의 열화를 며칠 만에 잡고 오탐은 얼마인지 어떻게 알 수 있는가?</t>
  </si>
  <si>
    <t>물리 시뮬레이터(1차 설계 7절)
고장·데이터 품질 시나리오
실측 정상 데이터(배경)
음성 대조군 시나리오(출력제어·한파·흐린 주)</t>
  </si>
  <si>
    <t>실측 정상 데이터에 물리적으로 그럴듯한 고장 신호를 주입(하이브리드 합성)하거나 전체를 시뮬레이션해 정답(ground truth)이 있는 평가 세트 생성. PV는 pvlib, 배터리는 PyBaMM 같은 검증된 오픈소스 모델 활용. 크기 스윕으로 최소 탐지 가능 크기 곡선 산출. 공개 벤치마크의 결함(너무 쉬운 이상, 비현실적 이상 밀도, 라벨 오류, 끝부분 편향)을 피하도록 설계. 합성 데이터로 사전학습한 모델은 반드시 실데이터 검증셋에서 재평가.</t>
  </si>
  <si>
    <t>탐지기별 재현율·정밀도·탐지 지연·크기 오차, 최소 탐지 가능 크기 곡선, CI 게이트 결과</t>
  </si>
  <si>
    <t>운영 측에 시스템이 실제로 잡을 수 있는 수준을 수치로 제시, 탐지기 변경 시 회귀 방지, 콜드스타트 기간 신뢰도 확보.</t>
  </si>
  <si>
    <t>NASA C-MAPSS는 열역학 시뮬레이션으로 만든 엔진 고장 진행 데이터로 PHM08 경진대회에 쓰였고 예지 알고리즘 비교 표준이 됨(https://doi.org/10.1109/PHM.2008.4711414). 기존 시계열 이상 벤치마크 다수가 네 가지 결함을 가져 성능 진보가 착시일 수 있다는 지적(https://arxiv.org/abs/2009.13807). 비용 절감 정량 수치는 정량 근거 미확인.</t>
  </si>
  <si>
    <t>라벨은 시뮬레이터가 자동 생성. 실측 정상 배경 데이터 수개월, 설비 파라미터(명판), 시나리오 정의 버전 관리.</t>
  </si>
  <si>
    <t>조치 효과 인과 검증(차분의 차분·베이지안 구조 시계열)</t>
  </si>
  <si>
    <t>세정·팬 교체·셀 밸런싱·설정 변경이 실제로 성능을 몇 % 회복시켰는가? 날씨 덕분이 아니라 조치 덕분인가?</t>
  </si>
  <si>
    <t>조치 이력(시각·유형·대상)
조치 설비와 대조 설비(동종 미조치)의 정규화 KPI
기상</t>
  </si>
  <si>
    <t>차분의 차분(DiD): (조치 설비 전후 변화)−(대조 설비 전후 변화). 대조군이 없으면 베이지안 구조 시계열(CausalImpact)로 조치가 없었을 경우의 반사실 곡선을 예측해 차이와 신뢰구간 계산. 회귀 기준선은 ASHRAE Guideline 14 적합도 기준 충족 시에만 인정(1차 설계). 효과를 원 단위로 환산해 조치 ROI 산출.</t>
  </si>
  <si>
    <t>조치별 효과 크기(%·kWh·원)와 신뢰구간, 조치 유형별 평균 효과 통계, 효과 없는 조치 목록</t>
  </si>
  <si>
    <t>효과 있는 정비만 표준 절차로 확대하고 세정 주기·방법을 최적화하며, 정비 최적화 모델의 비용·효과 파라미터를 갱신해 분석→행동→검증 폐루프 완성.</t>
  </si>
  <si>
    <t>베이지안 구조 시계열로 개입의 인과 효과를 반사실 예측으로 추정하는 방법론(https://doi.org/10.1214/14-AOAS788). 에너지 O&amp;M 적용 정량 효과는 정량 근거 미확인.</t>
  </si>
  <si>
    <t>조치 기록의 정확한 시각·대상이 핵심. 조치 전후 각 2~4주 이상 정규화 KPI(추정), 대조 설비 1대 이상, 일 단위 집계.</t>
  </si>
  <si>
    <t>LLM 코칭 리포트 생성(근거팩 + 문서 검색 증강)</t>
  </si>
  <si>
    <t>수십 개 Finding과 KPI를 사이트 관리자·경영진이 바로 행동할 수 있는 한국어 코칭 문장으로 어떻게 바꾸는가?</t>
  </si>
  <si>
    <t>EvidencePack(Finding·근거·KPI·조치 이력)
설비 매뉴얼·정비 절차서·KGS 코드 등 문서
과거 리포트와 운영자 피드백</t>
  </si>
  <si>
    <t>1차 설계의 ReportComposer 구조 유지: 수치는 결정적 엔진이 계산하고 LLM은 서술·우선순위 설명만 담당. 추가로 매뉴얼·절차서를 검색 증강 생성(RAG)으로 연결해 점검 절차의 근거 조항을 인용. 검증기(인용 존재·수치 일치·고심각도 누락 없음) 통과 시에만 채택하고 사람 검토 후 발행.</t>
  </si>
  <si>
    <t>사이트별 주간·월간 코칭 리포트 초안(Word·PPT), 우선 조치 3건과 근거, 경영진 요약</t>
  </si>
  <si>
    <t>분석 결과가 실제 정비 행동으로 이어지는 마지막 단계의 작성 시간을 줄이고 사이트 간 리포트 품질을 표준화.</t>
  </si>
  <si>
    <t>라벨 불필요. 문서 코퍼스 디지털화, 외부 LLM 데이터 전송 정책 결정, 리포트 평가용 사람 피드백.</t>
  </si>
  <si>
    <t>근거 인용형 주간 코칭 리포트 작성(LLM Composer + 검증기)</t>
  </si>
  <si>
    <t>이번 주 이 발전소에서 무엇을 먼저, 왜, 얼마의 가치로 해야 하는가? 지난번 권고한 조치는 효과가 있었는가?</t>
  </si>
  <si>
    <t>EvidencePack(Finding, 근거 스냅샷, KPI, 조치 이력, 플레이북 요약)
결정적으로 계산된 기대효과 금액과 신뢰구간
지난 조치 효과 검증 결과
데이터 품질 요약
독자 유형(현장 관리자/경영진)</t>
  </si>
  <si>
    <t>구조화 출력(JSON 스키마 = ReportDraft)을 강제하고 모든 block에 citations[](finding id·evidence id·kpi key)를 필수로 둔다. 숫자는 LLM이 쓰지 않고 {{kpi.pr_7d}} 같은 자리표시자만 쓰게 한 뒤 렌더러가 근거값으로 치환한다(가장 안전). 자유 서술 숫자가 남으면 validateDraft가 정규식으로 추출해 인용 근거값과 표시 자릿수 기준으로 대조한다. 추가 검사: 인용 ID 존재, 심각도 4 이상 Finding 누락 금지, 금지 표현(보장·확실히·반드시 개선) 검출. 실패 시 1회 재생성 후 template@1로 폴백하고 사유를 기록한다. 행동 설계: 우선 조치는 3~5개로 제한하고, 조치마다 담당자·기한·기대효과(원)·확신도·미조치 시 월 손실을 붙인다. 동료 사이트 비교(같은 설비 모델 대비 순위)를 넣고, 지난 조치 성과 섹션을 항상 맨 앞에 둔다. 승인·반려 버튼과 반려 사유 코드를 리포트에 붙인다.</t>
  </si>
  <si>
    <t>섹션별 리포트 초안(지난 조치 성과, 이번 주 할 일 Top 3~5, 발견사항 상세, 데이터 품질 경고, 경영진 요약) + 문장별 인용 칩 + 검증 결과 배지 + AI 초안·사람 검토 표시</t>
  </si>
  <si>
    <t>운영자가 읽고 끝나는 보고서가 아니라 담당자·기한·금액이 붙은 할 일 목록을 받는다. 경영진은 금액·리스크 중심 요약으로 예산 결정을 빨리 할 수 있다. 사람 수정 diff가 쌓이면 프롬프트와 플레이북이 개선된다.</t>
  </si>
  <si>
    <t>인용 강제의 필요성: ALCE 벤치마크에서 최상위 모델도 ELI5 데이터셋 응답의 약 50%가 인용으로 완전히 뒷받침되지 않았다(https://arxiv.org/abs/2305.14627). 검색증강 상용 법률 AI도 17~33% 환각했다(https://arxiv.org/abs/2405.20362). 행동 피드백 리포트의 효과 참고치: Opower 가정용 에너지 리포트(이웃 비교)는 무작위 실험에서 평균 2.0% 소비 절감(https://econpapers.repec.org/RePEc:eee:pubeco:v:95:y:2011:i:9-10:p:1082-1095). 발전소 운영자 대상 코칭 리포트의 정량 효과는 미확인.</t>
  </si>
  <si>
    <t>최소 4~8주 운영 Finding·KPI와 조치 이력(추정). 사람이 승인한 모범 리포트 20~30건(추정)을 골든셋으로 확보. SMP·REC 단가와 비용 마스터. 사이트명·좌표 가명화 규칙.</t>
  </si>
  <si>
    <t>O&amp;M 코파일럿: 매뉴얼·절차서·안전기준 근거 질의응답(RAG)</t>
  </si>
  <si>
    <t>인버터 알람 코드가 떴을 때 무엇부터 확인하나? 수전해 스택 교체 후 재기동 절차와 KGS 요구사항은 무엇인가?</t>
  </si>
  <si>
    <t>설비 매뉴얼·제조사 서비스 불리틴
사내 절차서·LOTO 절차
KGS AH271·FU671, KEC 510 등 조항 단위 기준 문서
과거 작업지시서·리포트
현장 용어 사전
사이트 설비 모델 메타데이터</t>
  </si>
  <si>
    <t>문서 파싱 시 표·그림 캡션·조항 번호를 보존한다. 조항/절 단위로 청킹하고(300~800토큰, 추정) 각 청크 앞에 문서명·설비 모델·버전·조항 경로를 붙이는 문맥 청크 방식을 쓴다. 키워드 검색(BM25, 알람 코드·부품 번호 정확 일치에 강함)과 임베딩 의미 검색을 섞고 재정렬기(reranker)로 상위 20개 내외를 고른다. 메타데이터 필터(사이트 설비 모델, 문서 유효 버전)를 먼저 건다. 답변은 인용 필수이며, 근거 점수가 임계 미만이면 문서에서 찾지 못했다고 답한다(기권). 안전 절차는 요약하지 않고 원문 조항을 인용한다. 검색 문서 안의 지시문은 데이터로만 취급해 프롬프트 인젝션을 막는다.</t>
  </si>
  <si>
    <t>답변 + 근거 조항 링크(문서·페이지·조항 번호) + 확신도 + 관련 과거 작업지시서 2~3건 + 기권 시 담당 엔지니어 연결</t>
  </si>
  <si>
    <t>순환근무·신입 기술자의 자료 검색 시간을 줄이고 절차 누락을 막는다. 질문 로그는 매뉴얼 공백과 교육 필요 영역을 드러낸다.</t>
  </si>
  <si>
    <t>검색 품질: 문맥 임베딩+BM25로 top-20 검색 실패율 49% 감소, 재정렬 추가 시 67% 감소(5.7%→1.9%, 벤더 실험, https://www.anthropic.com/news/contextual-retrieval). 생산성: 고객지원 상담원 5,172명 대상 생성형 AI 보조 도입 시 평균 14%, 초보·저숙련자 34% 향상(https://academic.oup.com/qje/article/140/2/889/7990658). 국내 서부발전 WP-GPT는 내부 문서 1,432건·질의응답 약 35,000건으로 정비·구매·공사·안전 질의응답을 제공하나 정량 효과는 미공개(https://www.thefairnews.co.kr/news/articleView.html?idxno=39990). 에너지 현장 코파일럿의 시간 절감 정량 근거는 미확인.</t>
  </si>
  <si>
    <t>보유 설비 모델별 매뉴얼 전량과 버전 메타데이터, 조항 번호가 보존된 기준 문서, 질문-기대답-필수인용 골든셋 100~200문항(추정), 한·영 혼재 문서 처리용 다국어 임베딩</t>
  </si>
  <si>
    <t>근본원인분석(RCA) 보조: 가설 트리와 구별 점검 제안</t>
  </si>
  <si>
    <t>이 인버터의 반복 출력 제한(derating)은 냉각팬 고장인가, 필터 막힘인가, 설치 환경 방열 부족인가? 무엇을 먼저 확인하면 원인을 가장 빨리 좁힐 수 있나?</t>
  </si>
  <si>
    <t>Finding과 근거 스냅샷
알람·이벤트 시퀀스
같은 자산·같은 모델 fleet의 과거 작업지시서
플레이북·FMEA(고장모드 영향 분석)
매뉴얼 진단 트리
기상 이력
교대일지·음성 메모</t>
  </si>
  <si>
    <t>(1) 결정적 단계: 알람 시간순 정렬, 선행 알람 동시발생 통계(lift), 같은 모델 fleet 비교, 기상 조건별 재현성 계산. (2) 유사 사례 검색: 증상 텍스트 임베딩 kNN + 고장 코드 일치 필터. (3) LLM 단계: 피시본(설비·환경·운전·보수·자재·측정) 가설 트리 생성, 각 가설에 지지·반박 근거 ID를 연결, 가설을 가장 잘 구별하는 확인 점검을 소요시간 대비 판별력 순으로 제안. (4) 가설 확률은 LLM이 말하지 않고 과거 확정 원인 빈도(사전확률)와 점검 결과로 코드가 갱신한다. (5) 기술자가 점검 결과를 입력하면 가설을 재정렬하고, 확정 원인 코드를 정비이력에 기록한다.</t>
  </si>
  <si>
    <t>원인 후보 순위표(근거, 반증, 확인 방법, 예상 소요시간, 필요 공구), 확인 체크리스트, 확정 시 재발방지 조치 제안</t>
  </si>
  <si>
    <t>RCA 소요시간 단축, 일단 교체하고 보는 부품 낭비 감소, 재발 방지 조치 도출. 확정 원인 데이터가 쌓이면 사전확률이 정확해진다.</t>
  </si>
  <si>
    <t>Microsoft RCACopilot: 1년치 실제 클라우드 인시던트에서 근본원인 범주 예측 정확도 최대 0.766(https://arxiv.org/abs/2305.15778). Aker BP·Cognite RCA 에이전트: 엔지니어 시간 70% 이상 절감(벤더 발표, https://www.cognite.com/en/company/newsroom/aker-bp-leverages-cognite-atlas-ai-tm-to-pioneer-an-ai-first-future-in-exploration-and). 태양광·수소 설비 RCA 적용 정량 근거는 미확인.</t>
  </si>
  <si>
    <t>원인·조치 코드가 채워진 정비이력 최소 1~2년(추정), 1초 해상도 타임스탬프 알람 로그, 고장모드 카탈로그, 확정 원인 라벨</t>
  </si>
  <si>
    <t>작업지시서(Work Order) 초안 생성</t>
  </si>
  <si>
    <t>승인된 조치를 현장에서 안전하게, 한 번 출동으로 끝내려면 무엇을 준비하고 어떤 순서로 해야 하나?</t>
  </si>
  <si>
    <t>승인된 Finding과 조치
플레이북
매뉴얼 절차·안전기준 조항
부품 재고·리드타임
발전량 예보·SMP(정지 손실이 적은 시간대 산정)
기상 예보(작업 가능 여부)
자산 도면(SLD·P&amp;ID)</t>
  </si>
  <si>
    <t>CMMS 필드에 맞춘 슬롯 채우기형 구조화 출력(작업 범위, 사전조건, 안전 단계, 공구·부품, 단계별 절차, 완료 기준, 사진 증빙 요구). 안전 단계(정전·LOTO, 수소 퍼지·가스검지 확인 등)는 승인 절차서 조항 원문 인용만 허용하고 LLM 창작 문장은 검증기가 차단한다. 작업 시간대는 결정적 계산(예상 일사·SMP가 낮은 시간, 기상 제약)으로 정한다. 부품 가용성은 도구 호출로 조회한다. 감독자 승인 후에만 CMMS에 등록한다.</t>
  </si>
  <si>
    <t>CMMS 등록용 작업지시서 초안(JSON + PDF), 인용 조항 목록, 준비물 체크리스트, 권장 작업 시간대와 예상 정지 손실(원)</t>
  </si>
  <si>
    <t>재출동 감소, 안전 단계 누락 방지, 정지 손실 최소화, 작업지시 작성 시간 절감. 완료 결과를 효과 검증과 연결한다.</t>
  </si>
  <si>
    <t>Siemens 유지보수 코파일럿: 파일럿에서 반응정비 시간 평균 25% 단축(벤더 발표, 파일럿 기준, https://press.siemens.com/global/en/pressrelease/siemens-expands-industrial-copilot-new-generative-ai-powered-maintenance-offering). Avangrid(Iberdrola) 풍력 First Time Right Autopilot은 Amazon Bedrock 기반으로 2개 풍력단지에 배치됐으나 정량 효과는 미공개(https://www.iberdrola.com/press-room/news/detail/avangrid-generative-ai-support-wind-farms-in-united-states).</t>
  </si>
  <si>
    <t>과거 작업지시서 수백 건(형식·용어 기준), 조항 ID가 부여된 절차서, 부품 마스터, 사이트별 작업 제약(접근 시간, 안전관리자 입회 요건)</t>
  </si>
  <si>
    <t>정비일지 자유 텍스트 구조화(표준 부품·고장모드·조치 코드 태깅)</t>
  </si>
  <si>
    <t>'3번 인버터 또 튐, 팬 소리 이상, 리셋함' 같은 기록은 어떤 부품·고장모드·원인·조치인가?</t>
  </si>
  <si>
    <t>자유 텍스트 정비일지·교대일지
음성 메모 전사
자산 계층·별칭 사전
코드 체계(설비 분류·고장모드·원인·조치 유형, ISO 14224 방식 참고)
사람 검수 예시</t>
  </si>
  <si>
    <t>자산 유형에 따라 허용 라벨 목록을 동적으로 줄인 뒤 LLM 제약 분류(구조화 출력)를 한다. 라벨마다 자기보고 확신도를 받고, 확신도 낮음·모델 간 불일치 건은 사람 검토 큐로 보낸다(HITL, Human-in-the-Loop). 사람 수정 결과를 few-shot 예시 저장소에 누적한다. 과거 이력 일괄 처리 시 두 모델 교차 라벨링 후 Cohen's kappa로 일치도를 점검한다. 비용이 중요하면 소형 오픈웨이트 모델을 자사 VPC에서 돌리고 불확실 건만 대형 모델로 올린다.</t>
  </si>
  <si>
    <t>구조화 필드(부품, 고장모드, 추정 원인, 조치 유형, 정지시간), 확신도, 검토 필요 플래그, 신규 용어 후보</t>
  </si>
  <si>
    <t>수년치 비정형 이력이 분석 가능한 데이터가 된다. 고장률·MTBF·비용 우선순위 계산과 RCA 유사사례 검색 품질이 좋아진다. 입력 시점 실시간 제안으로 기록 표준화도 된다.</t>
  </si>
  <si>
    <t>풍력 정비로그 LLM 라벨링 벤치마크(400여 건): 객관적인 부품·이슈 분류 F1 0.89 대비 해석이 필요한 정비유형 분류 F1 0.77(gpt-o3), 확신도 높은 라벨 F1 0.91 대 낮은 라벨 0.50으로 확신도 기반 사람 검토 분기가 유효하다. 저자들은 완전 자동화는 아직 권장하지 않았다(https://arxiv.org/abs/2509.06813, 기준값이 사람 정답이 아닌 벤치마크 표준이라는 한계). IEA PVPS Task 13은 정비 티켓에서 핵심 파라미터를 자동 추출하는 것이 기술위험 정량화에 매우 중요하다고 밝혔다(https://iea-pvps.org/key-topics/quantification-of-technical-risks-in-pv-power-systems/).</t>
  </si>
  <si>
    <t>과거 정비일지 전량(스캔본은 OCR), 사람 라벨 검증셋 200~400건(추정), 확정된 코드 체계, 현장 용어 사전</t>
  </si>
  <si>
    <t>에이전트형 대화 분석(검증된 도구 호출)</t>
  </si>
  <si>
    <t>지난달 제주1 사이트 인버터 중 성능비(PR)가 가장 많이 떨어진 3대와 그 기간의 알람은? 세정 전후 발전지수 차이는?</t>
  </si>
  <si>
    <t>자연어 질문
도구 카탈로그(get_kpi, compare_assets, get_finding, get_alarm_timeline, run_before_after 등 파라미터화 함수)
사용자 권한
gold 계층 롤업·KPI·Finding</t>
  </si>
  <si>
    <t>ReAct(추론-행동 반복) 방식으로 LLM이 도구명과 파라미터만 생성한다. 서버는 스키마 허용목록, 기간·행수 상한 클램프, 사이트 권한을 검사한 뒤 결정적으로 실행한다. 결과 표를 근거 번들로 LLM에 돌려주고, 답변 숫자는 도구 결과에서만 인용한다(수치 일치 검사). 도구는 읽기 전용만 제공하고 제어·설정 변경 도구는 두지 않는다. 작업지시 등록 같은 쓰기는 사람 승인 버튼으로만 한다. MCP(Model Context Protocol)로 도구를 노출할 경우 사용자 동의·도구 안전 원칙을 따른다. 자유 SQL 생성은 금지하거나 읽기 전용 샌드박스 뷰로만 제한한다. 호출 횟수·토큰 상한을 둔다.</t>
  </si>
  <si>
    <t>답변 + 실행된 도구 호출 목록 + 결과 표·차트 + 같은 분석을 다시 돌리는 재현 링크</t>
  </si>
  <si>
    <t>엔지니어의 대시보드 탐색·수작업 엑셀 분석 시간을 줄이고, 경영진 질문에 근거와 함께 즉답한다. 자주 묻는 질문은 새 도구나 대시보드 위젯으로 승격한다.</t>
  </si>
  <si>
    <t>자유 SQL 생성의 한계: 기업형 Text-to-SQL 벤치마크 Spider 2.0에서 o1-preview 에이전트 성공률 21.3%(Spider 1.0 91.2%, BIRD 73.0%, https://arxiv.org/abs/2411.07763). 산업 설비 운영 에이전트 벤치마크 AssetOpsBench: GPT-4.1 과제 완료 65%, 85점 배포 준비 기준을 넘은 모델 없음, 실패 궤적 중 완료 과장 23.8%(https://arxiv.org/abs/2506.03828). Midea BESS O&amp;M 보조 예비 평가: 스키마 검증을 거친 쿼리 계획 성공 100% 대 검증 제거 시 0%, 라우팅 정확도 70% 대 제거 시 20%(https://arxiv.org/abs/2607.01992, 예비 내부 평가).</t>
  </si>
  <si>
    <t>정규화된 gold 계층(롤업·KPI·Finding), 도구별 입출력 스키마·단위 명세, 질문 로그(도구 확장 근거), 권한 모델</t>
  </si>
  <si>
    <t>조치 우선순위화와 기대효과 금액화</t>
  </si>
  <si>
    <t>한정된 인력·예산으로 어떤 조치를 먼저 해야 손실을 가장 많이 줄이는가?</t>
  </si>
  <si>
    <t>Finding(효과 크기, 신뢰도, 추세)
일 손실량(kWh/일, kg H2/일)
SMP·REC 단가, 수소발전 입찰 단가
조치 비용(인건비·부품·정지 손실)
안전 심각도
보증·계약 조건
출력제어 이력</t>
  </si>
  <si>
    <t>전부 결정적 코드로 계산한다. 기대 회피손실 = 일 손실량 × 단가 × 조치 없을 때 지속 예상기간 × 탐지 신뢰도(보수적으로 CI 하한 사용). 순가치 = 기대 회피손실 − 조치비용, 회수기간도 계산한다. 출력제어 구간 손실은 제외한다. IEA PVPS Task 13의 비용 우선순위 수(CPN, Cost Priority Number) 개념을 차용해 정지손실·수리비·탐지 및 조치 지연시간을 반영한다. 안전 카테고리(수소 누설 의심 등)는 금액과 무관하게 최상위로 고정한다. LLM은 순위를 바꾸지 못하고 왜 이 순서인지 설명만 한다. 리포트당 우선 조치를 3~5개로 제한해 운영자 부하를 관리한다(알람 관리 표준의 운영자 부하 원칙 차용).</t>
  </si>
  <si>
    <t>조치 우선순위표(순가치 원, 회수기간, 확신도 구간, 안전 플래그, 보증 청구 가능 여부), 경영진용 포트폴리오 합계(사이트별 회수 가능 금액)</t>
  </si>
  <si>
    <t>발견사항 30건 나열 대신 금액 기준 Top 5로 의사결정 시간을 줄인다. 경영진은 예산·인력 배분 근거를 얻고, 보증 청구로 비용을 회수할 기회를 놓치지 않는다.</t>
  </si>
  <si>
    <t>IEA PVPS Task 13(T13-23, 2021): 10 MWp PV 발전소에서 PID(전위유도열화)로 20년 수익이 기대 대비 48% 낮아질 사례가 완화조치 시 5~6% 감소로 줄었다(https://iea-pvps.org/key-topics/quantification-of-technical-risks-in-pv-power-systems/). 운영자 알람 권고 부하: 정상 운전 시 10분당 1건(하루 약 150건) 이하가 ISA-18.2·EEMUA 191 기준으로 인용됨(2차 인용, https://seqent.com/blog/alarm-rationalization-explained/). 코칭 리포트 우선순위화 자체의 정량 효과는 미확인.</t>
  </si>
  <si>
    <t>KPX 시간별 SMP, REC 가격, 사이트별 계약 단가, 조치 비용 마스터, 최소 3개월 Finding 이력(추정), 출력제어 이력</t>
  </si>
  <si>
    <t>조치 후 효과 검증 내러티브와 학습 루프</t>
  </si>
  <si>
    <t>지난달 권고한 모듈 세정·팬 교체가 실제로 성과를 냈는가? 이 권고 규칙을 앞으로도 믿어도 되는가?</t>
  </si>
  <si>
    <t>조치 기록(유형, 범위, 일시, 비용)
before/after 조건 매칭 결과와 부트스트랩 신뢰구간
교란 이벤트(동시 조치, 출력제어, 계측 교체)
운영자 피드백과 반려 사유</t>
  </si>
  <si>
    <t>결정적 측정·검증(M&amp;V): IPMVP의 조건 보정 전후 비교 개념을 따라 같은 조건 bin끼리 비교하고 improved/no_change/insufficient_data로 판정한다(기존 설계 4.7절 재사용). LLM은 판정 결과를 쉬운 문장으로 쓰고 교란 요인과 한계를 반드시 명시한다. 규칙(플레이북 항목)별 적중률(권고→improved 비율)을 분기마다 집계해 권고 강도와 우선순위 가중치를 조정하고, 적중률이 낮은 규칙은 검토 대상으로 올린다. 사람 수정 diff와 반려 사유를 프롬프트 예시와 플레이북 수정에 반영한다.</t>
  </si>
  <si>
    <t>리포트의 지난 조치 성과 섹션(개선 효과, CI, 연환산 회수금액 추정), 규칙별 적중률 대시보드, 재오픈 제안 목록</t>
  </si>
  <si>
    <t>효과가 증명된 권고만 강하게 말하게 되어 코칭의 신뢰가 쌓인다. 효과 없는 권고를 걸러내고, 경영진에게 검증된 회수금액을 보고할 수 있다.</t>
  </si>
  <si>
    <t>측정·검증 방법론: IPMVP는 조치 전후 측정값을 조건 변화에 맞게 보정해 비교하는 방식으로 절감량을 산정한다(https://evo-world.org/en/products-services-mainmenu-en/protocols/ipmvp). 피드백 리포트의 행동 변화 효과 참고치: Opower 평균 2.0% 절감(https://econpapers.repec.org/RePEc:eee:pubeco:v:95:y:2011:i:9-10:p:1082-1095). 발전소 운영자 대상 정량 근거는 미확인.</t>
  </si>
  <si>
    <t>조치 일시·범위의 정확한 기록, 조치 전 30일·후 30일 데이터(설비별 안정화 기간 제외), 교란 이벤트 로그</t>
  </si>
  <si>
    <t>점검 사진·열화상 결과 설명(멀티모달 보조)</t>
  </si>
  <si>
    <t>드론 열화상 사진의 핫스팟은 어떤 결함 유형이고, 어느 스트링의 어떤 조치로 이어져야 하나?</t>
  </si>
  <si>
    <t>IR·EL·가시광 사진과 메타데이터(GPS, 일사량, 촬영시각)
전용 비전 모델 검출 결과(결함 유형, 위치, 온도차)
스트링 배치도
판정 기준 문서
발전 데이터의 해당 스트링 성능</t>
  </si>
  <si>
    <t>결함 검출·분류는 버전이 고정된 전용 CNN·검출 모델이 한다. LLM은 검출 결과와 사진, 스트링 성능 데이터를 받아 현장용 설명문, 조치 제안(플레이북 내), 작업지시 첨부 문구를 만든다. 멀티모달 LLM의 단독 판독은 보조 의견으로만 표시하고 판정 필드에는 쓰지 않는다. 촬영 조건이 기준(일사 부족 등)을 벗어나면 판독 신뢰도 경고를 붙인다.</t>
  </si>
  <si>
    <t>사진별 결함 카드(유형, 위치, 온도차, 영향 추정, 권고, 근거 이미지), 점검 보고서 초안</t>
  </si>
  <si>
    <t>점검 보고서 작성 시간을 줄이고, 사진 결함을 스트링·인버터 성능 저하와 연결해 조치 우선순위에 반영한다.</t>
  </si>
  <si>
    <t>멀티모달 LLM 단독 판독 정확도에 대한 정량 근거는 미확인(추정: 전용 모델보다 낮음). 시계열 이상탐지에서도 LLM이 전용 딥러닝보다 약 30% 낮았다는 결과가 전용 모델 우선 원칙의 간접 근거다(https://arxiv.org/abs/2405.14755).</t>
  </si>
  <si>
    <t>라벨된 결함 이미지 수백~수천 장(추정), 촬영 조건 메타데이터, 이미지-자산 매핑</t>
  </si>
  <si>
    <t>LLM 품질 평가·가드레일 파이프라인(골든셋, 수치·인용 검증)</t>
  </si>
  <si>
    <t>모델이나 프롬프트를 바꿔도 리포트와 답변이 틀리지 않는다는 것을 어떻게 보증하는가?</t>
  </si>
  <si>
    <t>골든셋(질문, 기대 답 요지, 필수 인용, 금지 답)
과거 EvidencePack과 승인 리포트
LLM 실행 추적 로그
사람 평가 표본
공격 시나리오 세트(프롬프트 인젝션, 민감정보 유출 유도)</t>
  </si>
  <si>
    <t>오프라인 평가 지표: (a) 수치 일치율(본문 숫자 중 근거와 일치한 비율, 목표 100%) (b) 인용 정밀도·재현율(ALCE 방식: 인용 문서가 문장을 완전히 뒷받침하는가) (c) 충실도(faithfulness, RAGAS 방식) (d) 고심각도 Finding 누락 0건 (e) 기권 적절성(근거가 없으면 모른다고 답했는가, 틀린 확신 답에 더 큰 감점) (f) 안전 조항 원문 일치. LLM 판정자(LLM-as-a-judge)는 사람 판정 표본으로 주기적으로 교정하고 위치·장황함·자기선호 편향을 통제한다. 온라인 지표: 섀도 실행 점수, 사람 수정률, 반려 사유, 폴백률, 비용·지연. 보안 시험: OWASP LLM Top 10(2025)의 LLM01 프롬프트 인젝션, LLM02 민감정보 노출, LLM06 과도한 권한 시나리오를 배포 전 회귀 테스트로 돌린다.</t>
  </si>
  <si>
    <t>버전별 평가 리포트와 배포 게이트(통과/차단), 회귀 항목 목록, 월간 품질 대시보드</t>
  </si>
  <si>
    <t>모델 교체·국산 모델 전환을 객관적으로 결정하고, 환각 사고를 배포 전에 걸러낸다. 발주처·경영진에 품질 보증 근거를 제시한다.</t>
  </si>
  <si>
    <t>GPT-4 판정자는 사람 선호와 80% 이상 일치해 사람 간 일치 수준이었으나 위치·장황함·자기선호 편향이 있었다(https://arxiv.org/abs/2306.05685). 정답률만 보는 평가는 추측을 보상해 환각을 늘리므로 기권에 부분 점수를 주고 확신 오답을 더 감점해야 한다(https://arxiv.org/abs/2509.04664). EPRI 전력 분야 벤치마크에서 서술형 정확도가 객관식보다 평균 27%p 낮아, 객관식 점수만으로 도입을 판단하면 안 된다(https://www.prnewswire.com/news-releases/epri-publishes-first-electric-sector-benchmarking-results-of-public-llms-302635785.html).</t>
  </si>
  <si>
    <t>초기 골든셋 100~300문항(추정), 분기 갱신, 사람 평가 월 수 시간(추정), 공격 시나리오 50건 이상(추정)</t>
  </si>
  <si>
    <t>알람·교대 인수인계 아침 브리핑</t>
  </si>
  <si>
    <t>밤사이 전 사이트에서 무슨 일이 있었고, 오늘 아침 누가 무엇을 먼저 봐야 하는가?</t>
  </si>
  <si>
    <t>알람·이벤트 로그
게이트웨이 헬스·데이터 품질 이벤트
신규 Finding
운전·교대일지</t>
  </si>
  <si>
    <t>결정적 전처리로 같은 원인 알람 묶기, 채터링(짧은 반복 발생) 제거, 우선순위 정렬, 사이트별 건수 집계를 먼저 한다. LLM은 사이트별 3줄 요약과 조치 필요 여부를 쓰고, 모든 문장에 원 알람·Finding 링크를 붙인다. 수소 안전 알람은 요약하지 않고 원문을 맨 위에 그대로 표시한다.</t>
  </si>
  <si>
    <t>아침 브리핑(콘솔 카드, 이메일·메신저), 사이트별 요약과 원 알람 링크</t>
  </si>
  <si>
    <t>알람 피로를 줄이고 인수인계 누락을 막는다. 반복 알람(bad actor) 목록을 드러내 알람 설정 정비로 이어진다.</t>
  </si>
  <si>
    <t>정량 근거 미확인. 참고: 알람 합리화가 안 된 시스템에서는 상위 10개 알람이 전체 발생의 60~80%를 차지한다는 2차 인용이 있다(https://seqent.com/blog/alarm-rationalization-explained/, 신뢰도 낮음).</t>
  </si>
  <si>
    <t>알람 코드 사전(제조사별), 알람 우선순위 정의, 최소 1개월 알람 로그</t>
  </si>
  <si>
    <t>I-V 곡선 형상 기반 스트링 고장 분류</t>
  </si>
  <si>
    <t>어느 스트링이 어떤 이유(다이오드 단락, 음영, PID, 오염, 직렬저항 증가)로 출력이 떨어졌는가?</t>
  </si>
  <si>
    <t>I-V 곡선(곡선당 약 128점)
스캔 시점 일사·모듈 온도
스트링 구성(직렬 모듈 수)
모듈 데이터시트</t>
  </si>
  <si>
    <t>물리모델(단일 다이오드 모델로 곡선을 표준시험조건 STC로 환산) + 특징 추출(Voc·Isc·FF·계단 수·기울기) + 분류기(랜덤포레스트 또는 1D-CNN). 라벨이 부족하면 시뮬레이션 곡선으로 학습한다(Sandia pvOps의 iv 모듈 방식).</t>
  </si>
  <si>
    <t>스트링별 고장 유형·신뢰도·추정 손실(W)과 교체 대상 모듈 후보</t>
  </si>
  <si>
    <t>현장 I-V 측정 인력을 줄이고 결함 스트링에만 출동한다. 조치 뒤 재스캔으로 회복을 확인한다.</t>
  </si>
  <si>
    <t>화웨이: 100MW를 15분에 스캔, 14종 고장 리포트, 정밀도 0.5%(TÜV 인증 주장). 고장률 12.1%인 말레이시아 발전소는 조치 시 발전량 1.5% 이상 증가 가능(제조사 추정). 한국에너지기술연구원: 10년 이상 I-V 데이터로 진단 정확도 95% 이상(2023 보도). https://solar.huawei.com/au/news-room/au/2019/news-20190710 , https://www.koit.co.kr/news/articleView.html?idxno=116998</t>
  </si>
  <si>
    <t>I-V 스캔 가능한 인버터나 휴대형 트레이서, 스캔 시 안정 일사, 고장 라벨 수백 건 이상(추정). 정기 스캔 주기는 월~분기(추정).</t>
  </si>
  <si>
    <t>드론 열화상 이상 자동 탐지와 손실 환산</t>
  </si>
  <si>
    <t>모듈 단위로 어디에 어떤 결함이 있고, 그 결함이 얼마의 출력·매출 손실을 만드는가?</t>
  </si>
  <si>
    <t>드론 IR·RGB 정사영상
촬영 시 일사·풍속
모듈 좌표 배치도
이상 유형별 손실계수</t>
  </si>
  <si>
    <t>CNN 영상 분류·검출(예: EfficientNet-B0), 정사영상 좌표 매핑, 유형별 손실계수로 kW 환산. 촬영 조건은 IEC TS 62446-3을 따른다.</t>
  </si>
  <si>
    <t>결함 목록(유형·위치·ΔT·영향 kW), 작업지시 초안, 재촬영 전후 비교</t>
  </si>
  <si>
    <t>교체·수리 대상을 정확히 지정하고, 준공검사와 보증 청구의 근거를 만든다.</t>
  </si>
  <si>
    <t>한국동서발전: 520kW·2,080장 중 205장 결함 발견, 조치 후 출력 6.6% 상승(연 약 1.2억원). Measurement 논문(2026): F1 0.927, 점검 147분→54분(63%↓). Raptor Maps 2025: 193GWdc 분석, 2024년 MWdc당 연 5,720달러 손실. https://www.epj.co.kr/news/articleView.html?idxno=22970 , https://www.aitimes.com/news/articleView.html?idxno=214824 , https://solarquarter.com/2026/02/17/benchmarking-dc-health-protecting-revenue-in-expanding-solar-fleets/</t>
  </si>
  <si>
    <t>연 1회 이상 촬영, 모듈 좌표 배치도, 라벨 이미지 수천 장(논문 2,400장), 촬영 시 일사 조건 충족</t>
  </si>
  <si>
    <t>기대발전량 대비 손실 분해(loss waterfall)와 금액 귀속</t>
  </si>
  <si>
    <t>목표 대비 부족분이 가용성, 출력제어, 오염, 클리핑, 열화, 기상 중 무엇 때문이고 각각 얼마인가?</t>
  </si>
  <si>
    <t>인버터·계량 발전량
POA 일사·모듈 온도(또는 위성 일사)
알람·정지 구간
출력제어 지시
SMP·REC 가격</t>
  </si>
  <si>
    <t>물리 기반 기대발전량 모델(pvlib 계열) + 이벤트 구간 태깅(정지·출력제어·클리핑) + 규칙 기반 손실 배분. 남은 잔차는 추세 통계(Theil-Sen)로 열화·오염을 분리한다.</t>
  </si>
  <si>
    <t>사이트·설비별 손실 폭포도(kWh·원), 월간 KPI(가용률·PR), 우선순위 목록</t>
  </si>
  <si>
    <t>손실 금액이 큰 원인부터 정비 자원을 배분한다. 경영진에게 '회복 가능 매출'로 보고한다.</t>
  </si>
  <si>
    <t>Power Factors: Origis Energy가 4.6GW 포트폴리오의 성능목표 98% 관리에 사용(자사 발표). ENGIE Darwin: 투자 1,300만 유로(2년), 3년 추가수익 2,700만 유로(2018, 풍력 포함). kWh Analytics 2025: 미국 태양광이 P50 예측보다 평균 8.6% 미달(2차 인용, 원문 미확인). https://www.powerfactors.com/unity/asset-performance-management , https://www.windpower-international.com/analysis/engies-darwin-project-the-evolution-of-data-management-6124931/</t>
  </si>
  <si>
    <t>1~15분 발전·기상 데이터 1년 이상, 정확한 설비 메타데이터(용량·방위·경사), 출력제어·정지 이벤트 로그</t>
  </si>
  <si>
    <t>피어·위성 벤치마크 기반 저성과 발전소 선별</t>
  </si>
  <si>
    <t>날씨 탓이 아니라 이 발전소만의 문제로 성과가 낮은가?</t>
  </si>
  <si>
    <t>사이트별 비발전량(kWh/kWp)
위성 일사
권역·설치 형태 메타데이터</t>
  </si>
  <si>
    <t>같은 권역·같은 날 피어 비발전량 비율의 로버스트 z-score(중앙값·MAD), 위성 일사 기반 기대값 대비 비율 추세</t>
  </si>
  <si>
    <t>저성과 발전소 순위, 지속 기간, 추정 손실</t>
  </si>
  <si>
    <t>일사계가 없는 소규모 사이트까지 전수 선별해 드론·I-V 진단 대상을 고른다.</t>
  </si>
  <si>
    <t>정량 근거 미확인. 해줌이 약 4,000개 발전소 데이터로 이웃 발전소·전국 패턴 대비 이상을 감지하는 기능을 제공(2021 보도, 성과 수치 미공개). https://www.industrynews.co.kr/news/articleView.html?idxno=44127</t>
  </si>
  <si>
    <t>같은 권역 사이트 다수(최소 수십 개, 추정), 일 단위 발전량, 정확한 설비용량</t>
  </si>
  <si>
    <t>설비 정상 운전패턴 이탈 조기경보(다변량 이상탐지)</t>
  </si>
  <si>
    <t>인버터·PCS·변압기·정류기가 고장 나기 전에 정상 패턴에서 벗어나고 있는가?</t>
  </si>
  <si>
    <t>설비별 전력·전압·전류
내부·방열판 온도
외기 온도·부하율
알람 이력
정비 티켓(라벨)</t>
  </si>
  <si>
    <t>다변량 상태 추정(AAKR/MSET 계열) 또는 오토인코더로 정상 모델을 학습하고, 부하·온도 조건부 잔차를 EWMA·CUSUM으로 감시한다. 발전 공기업의 APR(Advanced Pattern Recognition) 예측경보와 같은 원리다.</t>
  </si>
  <si>
    <t>이탈 점수, 기여 변수, 경보와 권장 점검 항목</t>
  </si>
  <si>
    <t>계획정비로 전환해 긴 정지(에너지 손실의 대부분)를 줄인다.</t>
  </si>
  <si>
    <t>서부발전 WISE(화력): APR 예측경보로 2023년 24건·2024년 30건 조기탐지(보도). DOE FEMP O&amp;M 가이드(2010): 예지정비 도입 시 정비비 25~30%↓, 고장 70~75% 제거, 다운타임 35~45%↓(산업 설문 평균). SunEdison 분석: 인버터가 티켓·손실 최대, 손실 50%가 사건 5%에서 발생. 태양광 인버터의 선행탐지 일수는 공개 근거 미확인. https://www.electimes.com/news/articleView.html?idxno=355329 , https://www.energy.gov/sites/prod/files/2020/04/f74/omguide_complete_w-eo-disclaimer.pdf</t>
  </si>
  <si>
    <t>설비별 1~10분 다변량 데이터 최소 1년(계절 포함), 고장 라벨이 붙은 티켓, 동일 모델 설비 다수</t>
  </si>
  <si>
    <t>BMS SOC·SOE 재추정과 드리프트 보정 권고</t>
  </si>
  <si>
    <t>BMS가 보고하는 충전상태가 실제와 얼마나 어긋나 있고, 그 때문에 거래·운전에서 얼마를 잃는가?</t>
  </si>
  <si>
    <t>셀 전압·온도
랙 전류
BMS 보고 SOC·SOE
휴지·만충 구간
전력 가격</t>
  </si>
  <si>
    <t>등가회로모델 + 확장 칼만필터(EKF). LFP 평탄 구간은 만충(CV 종료)·장시간 휴지 OCV를 앵커로 재보정하고, 오차 누적 추세를 감시한다.</t>
  </si>
  <si>
    <t>보정 SOC·SOE 시계열, 오차 추정, 저가 시간대 재보정 일정 권고</t>
  </si>
  <si>
    <t>사용 가능 에너지를 되찾아 거래 수익을 늘리고, 계약 불이행 페널티를 막는다.</t>
  </si>
  <si>
    <t>ACCURE(자사 사례): 유럽 BESS SOC 오차 45% 이상 → ±3%. 미국 Dogfish 75MW에서 가격 피크 때 3.8MWh 유휴, 보정 효과 연 11만 달러 이상(ERCOT 평균 거래수익 대비 약 5%). https://www.accure.net/case-studies/gore-street-capital-turning-soc-accuracy-into-5-more-trading-revenue , https://www.accure.net/case-studies/50-mwh-bess-europe</t>
  </si>
  <si>
    <t>셀·랙 단위 1분 이하 이력 수개월 이상, 셀 화학(LFP/NMC) 특성 데이터, 만충·휴지 이벤트</t>
  </si>
  <si>
    <t>배터리 셀·모듈 안전 위험 스코어링</t>
  </si>
  <si>
    <t>어느 모듈이 열폭주·화재 위험으로 가고 있으며, 얼마나 급한가?</t>
  </si>
  <si>
    <t>전 셀 전압
셀·모듈 온도
휴지 중 전압 변화(자가방전)
내부저항 추정
KESCO 75항목</t>
  </si>
  <si>
    <t>다지표(셀 전압 편차 추세, 자가방전율, 저항 증가, 온도 이상)를 규칙과 머신러닝으로 묶은 심각도 점수 모델. 시공·시운전·초기 2년은 민감도를 높인다.</t>
  </si>
  <si>
    <t>모듈별 위험 점수·근거 지표·조치 권고(교체, 운전 제한)</t>
  </si>
  <si>
    <t>결함 모듈을 선제 교체하고, 충전율 제한 같은 운전 조건을 조정한다.</t>
  </si>
  <si>
    <t>ACCURE: 20개 이상 안전 지표 심각도 점수, 유럽 BESS에서 전해액 누출 제조결함 모듈을 찾아 교체(정량 미공개). EPRI(2024): 2018→2023 고장률 97% 감소(GW당 9.2→0.2), 고장의 72%가 초기 2년 이내, 모니터링·분석으로 BMS 보완 권고. https://restservice.epri.com/publicdownload/000000003002030360/0/Product , https://www.accure.net/case-studies/140-mwh-bess-europe</t>
  </si>
  <si>
    <t>셀 단위 원시 전압·온도(요약값 불가), 휴지 구간 포함 수주~수개월, 사고·교체 이력 라벨</t>
  </si>
  <si>
    <t>디지털 커미셔닝·랙 불균형 진단</t>
  </si>
  <si>
    <t>새로 지은(또는 교체한) 설비가 설계 성능을 내는가? 불균형·결함은 어디서 오는가?</t>
  </si>
  <si>
    <t>인수시험 사이클 데이터
랙별 SOC·전압
BMS 추정값
설계 용량</t>
  </si>
  <si>
    <t>랙·모듈별 SOC 퍼짐 분석, BMS 추정과 적산 기반 추정 비교로 결함 BMS·모듈을 특정하고, 설계값과 차이를 검정한다.</t>
  </si>
  <si>
    <t>결함 부위 목록, 인수 가부 판단 근거, 재보정 지침</t>
  </si>
  <si>
    <t>상업운전(COD) 지연을 줄이고, 인수 전에 결함을 시공사·제조사 책임으로 돌린다.</t>
  </si>
  <si>
    <t>ACCURE: 북미 100MWh 이상 사이트에서 1개월 데이터로 1주 안에 결함 모듈 2개 특정, 5만 달러 절감, 6주 지연 해소(자사 사례). TWAICE: VERBUND 42MW 디지털 커미셔닝(2023, 정량 미공개). https://www.accure.net/case-studies/imbalanced-racks-bring-commissioning-to-a-standstill</t>
  </si>
  <si>
    <t>커미셔닝 기간 전 랙·모듈 데이터, 설계·계약 성능값</t>
  </si>
  <si>
    <t>정비 티켓 NLP와 발전 데이터 결합(코칭 폐루프)</t>
  </si>
  <si>
    <t>어떤 고장이 반복되고, 어떤 조치가 실제로 발전 회복으로 이어졌는가?</t>
  </si>
  <si>
    <t>CMMS 티켓 원문
알람 이력
발전·손실 시계열
교체 부품 기록</t>
  </si>
  <si>
    <t>텍스트 정제·고장모드 분류(TF-IDF+분류기, 또는 LLM 구조화 추출), 티켓 시각과 손실 구간 정렬(text2time), 조치 전후를 동일 조건 구간(bin)으로 비교해 효과를 추정한다.</t>
  </si>
  <si>
    <t>고장모드별 빈도·손실·수리시간, 조치 효과 검증 결과, 발전소별 코칭 포인트</t>
  </si>
  <si>
    <t>효과 없는 반복 조치를 멈추고 근본 원인 조치로 바꾼다. 권고 → 조치 → 검증 루프를 닫는다.</t>
  </si>
  <si>
    <t>정량 근거 미확인. Sandia pvOps가 티켓 NLP·text2time·생산데이터 분석을 오픈소스로 제공(효과 수치 미공개). https://pvops.readthedocs.io/en/latest/</t>
  </si>
  <si>
    <t>최소 1~2년 치 티켓(자유 텍스트 포함), 티켓과 설비 ID 매핑, 발전 시계열</t>
  </si>
  <si>
    <t>전해조 스택·셀랙 성능 편차와 열화 추적</t>
  </si>
  <si>
    <t>같은 운전 조건에서 스택·셀랙 전압이 얼마나 오르고 있으며, 어느 엘리먼트가 약한가?</t>
  </si>
  <si>
    <t>스택·셀(엘리먼트) 전압
전류밀도
스택 온도·압력
운전시간·기동/정지 횟수</t>
  </si>
  <si>
    <t>전류밀도·온도 조건 bin별 기준 전압 대비 편차 추세(Theil-Sen, µV/h), 엘리먼트 간 분산 추적, CUSUM 변화점 탐지</t>
  </si>
  <si>
    <t>열화율(%/1000h), 약한 셀 목록, 리퍼비시 시점 권고</t>
  </si>
  <si>
    <t>출력 급감 전에 셀을 교체·재생하고, 동적 운전 조건을 조정해 열화를 늦춘다.</t>
  </si>
  <si>
    <t>thyssenkrupp nucera: evaluator로 셀랙의 점진적 성능 편차를 출력 급감 전 탐지(정량 미공개). Clean Hydrogen JU 2024 과제 KPI: FDI 95% 이상, 진단 비용 시스템의 3% 이하, 열화 PEMEL 0.12%/1000h·AEL 0.10%/1000h 달성에 기여, 신뢰도 99%. https://www.clean-hydrogen.europa.eu/system/files/2024-01/Clean%20Hydrogen%20JU%20AWP%202024%20-%20all%20chapters_Final_For_Publication.pdf</t>
  </si>
  <si>
    <t>셀전압 모니터링(CVM) 1초~1분, 수천 시간 이상 운전 이력, 조건 bin 채움을 위한 다양한 부하</t>
  </si>
  <si>
    <t>전해조 플릿 벤치마크(kWh/kg·순도·가동률)</t>
  </si>
  <si>
    <t>우리 전해조들(다기종·다벤더)은 서로, 그리고 사양 대비 얼마나 효율적으로 수소를 만드는가?</t>
  </si>
  <si>
    <t>정류기 입력 전력
수소 유량
순도
운전·정지 이력</t>
  </si>
  <si>
    <t>같은 부하율 구간의 kWh/kg 분포 비교, 가동률·기동 횟수 집계, 사양 대비 편차 표준화</t>
  </si>
  <si>
    <t>설비·기술별 효율 순위표, 사양 대비 격차, 운전 전략 비교</t>
  </si>
  <si>
    <t>효율 좋은 설비에 부하를 먼저 배분하고, 저효율 설비는 진단·정비한다.</t>
  </si>
  <si>
    <t>정량 근거 미확인. Nel NASOC가 에너지 소비·수소 생산·온도·순도를 벤치마크(수치 미공개). 제주는 12.5MW 다기종(PEM·알칼라인·AEM·SOEC) 실증 예정이라 기술 간 비교 수요가 크다. https://nelhydrogen.com/support/nasoc/ , https://www.h2news.kr/news/articleView.html?idxno=12504</t>
  </si>
  <si>
    <t>설비별 전력·유량 계량(15분), 공통 계량 기준(AC 입력 vs DC 스택) 통일</t>
  </si>
  <si>
    <t>연료전지 원격 파라미터 최적화 권고</t>
  </si>
  <si>
    <t>성능 저하 조짐이 보이는 연료전지 모듈의 운전 파라미터를 어떻게 바꾸면 고장을 막고 효율을 지킬 수 있나?</t>
  </si>
  <si>
    <t>서버당 수백 개 운전 파라미터
전압·전류·온도
연료 이용률
성능 이력</t>
  </si>
  <si>
    <t>물리 성능모델 대비 잔차 감시와 예측분석, 과거 조정 효과를 학습한 권고 규칙(제조사 독점). 신뢰성 AI 스위트와 경보·워크플로를 자동화한다.</t>
  </si>
  <si>
    <t>이상 경보, 파라미터 조정 권고, 원격 조정 이력</t>
  </si>
  <si>
    <t>고장 전 원격 조정으로 출동과 정지를 줄인다. 발전사 측에서는 LTSA 성능보증 이행을 검증한다.</t>
  </si>
  <si>
    <t>블룸에너지(SEC 10-K): 서버당 500개 이상 파라미터를 실시간 감시하고, 예측분석으로 고장 전에 조정. C3 AI 협업(2024): 하루 10억 개 데이터포인트, 운전 파라미터 조정 권고(효과 수치 미공개). https://www.sec.gov/Archives/edgar/data/1664703/000166470322000034/be-20211231.htm , https://c3.ai/c3-ai-and-bloom-energy-team-up-to-revolutionize-fuel-cell-performance-service-and-engineering-analytics/</t>
  </si>
  <si>
    <t>제조사 수준 원시 파라미터 접근권(LTSA 조항), 실시간 전송, 과거 조정·고장 이력</t>
  </si>
  <si>
    <t>임피던스(EIS) 기반 연료전지·전해조 고장 분리 진단</t>
  </si>
  <si>
    <t>전압이 떨어진 원인이 막 건조인가, 플러딩인가, 연료·공기 결핍인가, 피독인가?</t>
  </si>
  <si>
    <t>EIS 스펙트럼
운전점(전류·온도·가습)
스택 전압</t>
  </si>
  <si>
    <t>등가회로 적합으로 저항·용량 성분을 추출하고 고장 사전(fault signature)과 대조해 분류한다. 결과로 열화 수준을 외삽해 잔여수명을 추정한다.</t>
  </si>
  <si>
    <t>고장 유형 판정, 건강상태(SoH), 잔여수명 추정</t>
  </si>
  <si>
    <t>원인에 맞게 운전 조건(가습·퍼지·연료 조성)을 바로잡아 스택 수명을 늘린다.</t>
  </si>
  <si>
    <t>HEALTH-CODE(EU, 2015~2018, 약 236만 유로): 연료조성 변화·공기 결핍·연료 결핍·황 피독·플러딩/건조 5종 탐지, 기술성숙도 TRL 3~4→5(정확도 수치 미공개). Clean Hydrogen JU(2024): 전해조용 도구는 100kW 이상 규모에서 미실증. https://www.clean-hydrogen.europa.eu/projects-dashboard/projects-repository/health-code_en</t>
  </si>
  <si>
    <t>EIS 측정 가능한 전력변환기 또는 장비, 운전 중 섭동 주입 허용, 고장 라벨 실험 데이터</t>
  </si>
  <si>
    <t>수소 누출 확산 디지털 트윈과 감지기 배치 최적화</t>
  </si>
  <si>
    <t>누출이 나면 가스가 어디로 퍼지고, 감지기는 어디에 몇 개 있어야 가장 빨리 잡는가?</t>
  </si>
  <si>
    <t>설비 배치·누출 가능 지점
풍속·풍향·연직 바람 분포
감지기 위치·응답시간</t>
  </si>
  <si>
    <t>정상상태 전산유체역학(CFD) 시뮬레이션과 시나리오 비교(고풍속 vs 저풍속). 필요하면 축소차수모델로 실시간화한다.</t>
  </si>
  <si>
    <t>누출 시나리오별 농도장, 감지기 배치 권고, 경보 시간 추정</t>
  </si>
  <si>
    <t>감지 사각지대를 없애고, 향후 수소시설 통합모니터링 규제에 대응한다.</t>
  </si>
  <si>
    <t>정량 근거 미확인. NREL ARIES 전해조 시설 디지털 트윈(2025): 풍속이 플룸 형상과 범위에 큰 영향(수치 미공개). 수소안전관리 로드맵 2.0: 2030년까지 수소시설 통합모니터링체계 구축 추진. https://www.osti.gov/biblio/3011897</t>
  </si>
  <si>
    <t>3D 배치도, 현장 기상 1분, 감지기 사양, 누출률 가정</t>
  </si>
  <si>
    <t>연계형 체인 효율·손실 귀속(PV→ESS→전해조→저장→연료전지)</t>
  </si>
  <si>
    <t>태양광 1kWh(특히 출력제어로 버려질 전력)가 수소 kg과 다시 kWh로 바뀌는 동안, 어느 구간에서 얼마를 잃는가?</t>
  </si>
  <si>
    <t>구간별 전력량(PV·ESS·정류기·압축기·연료전지)
수소 생산·저장·소비 질량
출력제어 지시
설비별 효율곡선</t>
  </si>
  <si>
    <t>구간별 에너지·질량 수지와 물리 모델(정류기 효율곡선, 압축 비에너지, 연료전지 효율) 대비 잔차 분해. 출력제어 전력 활용률과 체인 왕복효율 추세를 조건 bin으로 비교한다.</t>
  </si>
  <si>
    <t>체인 산키 다이어그램(kWh→kg→kWh), 구간별 손실·열화 기여, 운전 전략(충전 vs 수전해 배분) 권고</t>
  </si>
  <si>
    <t>잉여전력 배분 규칙을 바꾸고, 병목 구간(예: 저부하 정류기 효율)을 우선 개선해 체인 경제성을 높인다.</t>
  </si>
  <si>
    <t>정량 근거 미확인. 상용 체인 분석 제품은 확인되지 않았다. 유사 실증: HAEOLUS(노르웨이, 풍력→2.5MW PEM→150kg·30bar 저장→100kW 연료전지)는 원격 운전과 진단·예측 시스템을 실증했고, 수소 생산단가를 4~6유로/kg으로 분석. https://cordis.europa.eu/project/id/779469/reporting</t>
  </si>
  <si>
    <t>구간별 계량기 15분 동기화(한전 AMI 15분 정렬), 수소 유량·탱크 압력·온도, 설비 효율곡선, 1년 이상 운전</t>
  </si>
  <si>
    <t>다음날 발전량 예측과 예측 기반 기대값</t>
  </si>
  <si>
    <t>내일 각 발전소는 얼마나 발전할까? 실제값이 예측에서 벗어난 원인은 날씨인가, 설비인가?</t>
  </si>
  <si>
    <t>기상 예보
위성 일사
과거 발전량
설비 메타데이터
미세먼지</t>
  </si>
  <si>
    <t>수치예보 기반 물리모델과 그래디언트 부스팅·딥러닝 앙상블. 사이트별 전이학습으로 신규 사이트 초기 성능을 보완한다.</t>
  </si>
  <si>
    <t>시간별 발전량 예측·불확실성, 예측 대비 편차 알림</t>
  </si>
  <si>
    <t>KPX 예측제도 정산 수익을 확보하고, 수전해·ESS 운전계획을 세운다. 편차가 크면 설비 점검을 트리거한다.</t>
  </si>
  <si>
    <t>중부발전·제이케이코어: 발전량 예측 정확도 99%(정의 미공개, 2026 보도). KETEP 2026 과제: 미세먼지 반영 예측정확도 95% 이상 목표. https://www.hankyung.com/article/2026021905431 , https://app.rndcircle.io/gov-grant/5f1bfc5f-45c2-485f-b78e-e2a19ca5b61e</t>
  </si>
  <si>
    <t>사이트별 1년 이상 시간별 발전량, 예보 이력 아카이브, 출력제어 구간 제외 표시</t>
  </si>
  <si>
    <t>LLM 기반 발전소별 코칭 리포트 생성</t>
  </si>
  <si>
    <t>이번 달 이 발전소에서 가장 먼저 할 일 세 가지는 무엇이고, 근거와 기대효과는 무엇인가?</t>
  </si>
  <si>
    <t>손실 분해 결과
탐지 Finding(근거 스냅샷 포함)
정비 티켓 이력
계약 KPI</t>
  </si>
  <si>
    <t>정량 분석 결과를 구조화 입력으로 넣고, 대규모 언어모델(LLM)이 서술·우선순위·조치 문장을 생성한다. 수치는 분석 엔진 값만 인용하게 제한하고 출처를 연결한다.</t>
  </si>
  <si>
    <t>경영진용 요약과 엔지니어용 조치 목록(근거 데이터 링크 포함)</t>
  </si>
  <si>
    <t>분석 결과가 현장 조치로 이어지는 비율을 높이고, 보고서 작성 시간을 줄인다.</t>
  </si>
  <si>
    <t>정량 근거 미확인. Power Factors가 310GW 이상 운영데이터로 학습한 AI 엔진 REMI를 제공(자사 주장, 효과 수치 미공개). https://www.powerfactors.com/unity/asset-performance-management</t>
  </si>
  <si>
    <t>검증된 정량 Finding 데이터셋, 용어·설비 사전, 사람 검토 피드백 기록</t>
  </si>
  <si>
    <t>발견사항 쉬운 말 설명 (AI 설명)</t>
  </si>
  <si>
    <t>이 발견사항이 무슨 뜻이고 무엇을 하라는 것인가</t>
  </si>
  <si>
    <t>분석 엔진이 만든 틀 문장 4줄
효과 크기·신뢰구간·판정 등급
설비·사이트 이름
안전 고정 문구</t>
  </si>
  <si>
    <t>수치와 판정은 통계·규칙 기반 엔진이 확정하고, LLM(Gemini)은 이미 만들어진 틀 문장을 읽기 쉽게 다시 쓰기만 한다. LLM이 숫자를 계산하거나 원인을 단정하는 경로는 설계상 없다. 요청 1회·타임아웃 20초, 네트워크 오류만 1회 재시도하고 나머지는 즉시 폴백. 생성문은 여섯 가지 검증을 통과해야 채택한다 — ①숫자·날짜는 엔진 문장에 있던 것만 개수까지 같게 ②설비·사이트 이름 보존 ③반대 방향 단어 추가 금지 ④금지 표현(원인 단정·안전 판단 대체·법적 조언) ⑤안전 고정 문구 보존 ⑥줄 구성·길이</t>
  </si>
  <si>
    <t>읽기 쉬운 설명 4줄 + 생성문/틀 문장 배지</t>
  </si>
  <si>
    <t>현장 담당자가 근거를 따로 묻지 않아도 되는 수준의 설명. 검증에 하나라도 걸리면 채택하지 않고 틀 문장으로 되돌린다</t>
  </si>
  <si>
    <t>LLM 기반 시계열 예측 기법 3종에서 LLM 부분을 빼도 성능이 떨어지지 않았고 대부분 오히려 좋아졌다(Tan 외, NeurIPS 2024) — 판정에 LLM을 쓰지 않는 근거</t>
  </si>
  <si>
    <t>엔진 판정이 먼저 있어야 한다. API 키가 없거나 꺼져 있으면 틀 문장만 쓴다(앱 동작은 같다)</t>
  </si>
  <si>
    <t>코칭 리포트 문장 다듬기</t>
  </si>
  <si>
    <t>월간·분기 리포트 초안을 사람이 읽기 좋게 쓸 수 있는가</t>
  </si>
  <si>
    <t>리포트 초안 섹션 문장
발견사항·조치 이력·KPI 값
금지 표현 목록</t>
  </si>
  <si>
    <t>리포트 초안 검증 규칙(숫자 토큰·방향 단어·금지 표현)을 그대로 쓰되 쉬운 말 4줄용으로 넓혔다. 검토자가 승인하기 전에는 초안 상태로 남고, PDF 출력은 승인 후에만 된다</t>
  </si>
  <si>
    <t>검토 대기 상태의 리포트 초안</t>
  </si>
  <si>
    <t>검토자가 문장을 고치는 시간을 줄인다. 수치·판정은 바뀌지 않으므로 검토는 표현만 보면 된다</t>
  </si>
  <si>
    <t>생성문이 숫자를 하나라도 바꾸면 채택하지 않는다(검증 규칙 ①) — 리포트 수치의 출처는 항상 분석 엔진이다</t>
  </si>
  <si>
    <t>발견사항과 KPI가 먼저 계산돼 있어야 한다</t>
  </si>
  <si>
    <t>개선 여지와 기대효과</t>
  </si>
  <si>
    <t>정량 효과는 출처 조건 기준입니다(사이트 조건에 따라 달라짐).</t>
  </si>
  <si>
    <t>영역</t>
  </si>
  <si>
    <t>개선 항목</t>
  </si>
  <si>
    <t>기대효과(출처 기준)</t>
  </si>
  <si>
    <t>필요 분석·주기</t>
  </si>
  <si>
    <t>PV</t>
  </si>
  <si>
    <t>조건기반 세척 최적화</t>
  </si>
  <si>
    <t>Micheli 2021: 스페인 남부 1 MW(연 오염손실 3% 이내 지역), 여름 ±31일 창 안 연 1회 최적 세척 시 이익 최대 3.6%. 세척비 $0.25~1/m², 물 약 1 L/m². 오염 영향 시스템의 연간 손실 중앙값 2~3%. 전 세계 손실 최소 3~4%(2018). 국내 황사로 단기 2% 이상 출력 감소 관측</t>
  </si>
  <si>
    <t>월(알림), 연(최적화). 한국은 황사·꽃가루·장마 계절성 반영(추정)</t>
  </si>
  <si>
    <t>[3][7][8][22]</t>
  </si>
  <si>
    <t>인버터 가용률 개선(트립 원인 제거·예비품)</t>
  </si>
  <si>
    <t>미국 설비군 가용률 중앙값 0.99 대 하위 10% 0.95 → 하위권 설비를 중앙값으로 올리면 +4%p(계산). 계약가용률 최소 98% 모범사례</t>
  </si>
  <si>
    <t>월(트립 통계), 분기(반복 원인)</t>
  </si>
  <si>
    <t>[3][10][19]</t>
  </si>
  <si>
    <t>필터·팬 정비로 인버터 열 스트레스 저감</t>
  </si>
  <si>
    <t>전해 커패시터 수명은 10°C 낮출 때마다 2배. 필터 청소 반기·교체 2년</t>
  </si>
  <si>
    <t>분기(방열 온도차 추세)</t>
  </si>
  <si>
    <t>출력제어·계통 손실 분리</t>
  </si>
  <si>
    <t>육지 출력제어 2025년 4월 말까지 20회(2024년 연 15회) → 설비 손실 과대평가 방지</t>
  </si>
  <si>
    <t>일사계 품질관리</t>
  </si>
  <si>
    <t>오염·미교정 일사계는 위성보다 부정확 → PR 오판 방지(정성). Class A는 주 1회 세척, 2년 교정</t>
  </si>
  <si>
    <t>월(드리프트)</t>
  </si>
  <si>
    <t>[8][13]</t>
  </si>
  <si>
    <t>SOC 창·DOD 운용</t>
  </si>
  <si>
    <t>LFP 사이클 수명 4,800(100% DOD) → 8,000(60%) → 32,000(30%). 완전사이클 처리량은 60%까지 같고 30%에서 2배. 안전상 SOC 옥내 80%·옥외 90% 제한</t>
  </si>
  <si>
    <t>월(준수), 연(수명 영향)</t>
  </si>
  <si>
    <t>[25][30]</t>
  </si>
  <si>
    <t>온도 관리(공조 최적화)</t>
  </si>
  <si>
    <t>캘린더 열화는 온도에 강하게 의존. 조건 차이로 80% 도달 시간이 수천 시간 차이. 셀 온도를 연중 20~30°C로 유지하면 수명 4.9년→7.0년(NREL Smith 2017 수명모델, 용량 70% 기준·DOD 74%, 시뮬레이션)</t>
  </si>
  <si>
    <t>월(온도 이력), 분기(용량 추세)</t>
  </si>
  <si>
    <t>[28][29]</t>
  </si>
  <si>
    <t>초기 2년 이상 감시 강화(제어·주변설비 중심)</t>
  </si>
  <si>
    <t>고장 72%가 시공·시운전·운전 2년 내, 원인 분류 26건 중 셀 직접 원인 3건(11%). 절연 급락이 전조</t>
  </si>
  <si>
    <t>월(초기 2년 강화)</t>
  </si>
  <si>
    <t>정지 중 OCV 회피(보호전위·미소전류)</t>
  </si>
  <si>
    <t>OCV 사이클 718회 후 고주파저항 약 1.6배. 1.3 V 유지 시 500회 동안 열화 없음. 필요 전류는 최대전력의 1%보다 훨씬 작음</t>
  </si>
  <si>
    <t>월(OCV 대기시간), 분기(전압 추세 전후 비교)</t>
  </si>
  <si>
    <t>[36]</t>
  </si>
  <si>
    <t>기동정지 감소(대기운전 활용)</t>
  </si>
  <si>
    <t>알칼라인 사례: 4~6 h 정지는 수명손실 없음, 기동정지 5,000회 제한 예. 스택 교체비가 CAPEX의 35~45%라 수명 연장 가치 큼. 밸브 개폐 한도 85% 경보·90% 기동금지</t>
  </si>
  <si>
    <t>월(횟수), 연(수명 예측)</t>
  </si>
  <si>
    <t>[34][40]</t>
  </si>
  <si>
    <t>부하 운용(정류기 효율·다스택 분담)</t>
  </si>
  <si>
    <t>정류기 효율은 15~20% 부하 미만에서 낮고, 시스템 효율은 약 30% 부하에서 최고</t>
  </si>
  <si>
    <t>월(부하 구간별 kWh/kg)</t>
  </si>
  <si>
    <t>[33]</t>
  </si>
  <si>
    <t>수질 관리 강화</t>
  </si>
  <si>
    <t>셀 신뢰성 이슈의 81%가 고객측 오염(주로 물). 물 품질이 스택 고장 주원인</t>
  </si>
  <si>
    <t>월(전도도·수지 처리량)</t>
  </si>
  <si>
    <t>연료전지</t>
  </si>
  <si>
    <t>기동정지·부하변동 완화(ESS 버퍼)</t>
  </si>
  <si>
    <t>차량용 연구 기준 열화 기여 부하변동 약 57%·기동정지 약 33%(Pei 2008, 2차 인용). 정치형 적용 계수는 사이트 재산정(추정)</t>
  </si>
  <si>
    <t>월(횟수·부하 변화율), 분기(전압 추세)</t>
  </si>
  <si>
    <t>[53]</t>
  </si>
  <si>
    <t>저부하·OCV·유휴 회피</t>
  </si>
  <si>
    <t>OCV 유지는 막 분해를 유발하는 대표 가속 조건. 기동정지 시 캐소드 탄소부식</t>
  </si>
  <si>
    <t>월(체류시간)</t>
  </si>
  <si>
    <t>[56]</t>
  </si>
  <si>
    <t>필터·냉각수 조건기반 교체</t>
  </si>
  <si>
    <t>필터 등 2,000~4,000 h 간격 교체 예상. 효과 정량은 미확인(추정)</t>
  </si>
  <si>
    <t>월(차압·전도도)</t>
  </si>
  <si>
    <t>예지보전(오일압·밸브 온도)</t>
  </si>
  <si>
    <t>충전소 정비 69%가 비계획. 다이어프램 파단이 주 고장이고 오일압으로 진단. 무교체 10,000~40,000 h 사례. 정비비 절감 정량은 공개 근거 미확인(추정)</t>
  </si>
  <si>
    <t>월(추세), 분기(신뢰성)</t>
  </si>
  <si>
    <t>[46][47][48]</t>
  </si>
  <si>
    <t>최고점 온도 관리</t>
  </si>
  <si>
    <t>110°C 연속이면 정상 절연수명 20.55년. 초과 시 수명 소모 가속</t>
  </si>
  <si>
    <t>월(유온), 연(절연유 분석)</t>
  </si>
  <si>
    <t>[21]</t>
  </si>
  <si>
    <t>공통</t>
  </si>
  <si>
    <t>교체 적립금 산정(Weibull)</t>
  </si>
  <si>
    <t>인버터 교체는 플랜트 수명 중간쯤. PCS 10년 대정비(전력설비 비용 30%)</t>
  </si>
  <si>
    <t>데이터 축적 기간별로 가능해지는 분석</t>
  </si>
  <si>
    <t>초기 1~2년은 고장 집중 구간이므로 열화 판정보다 이상·결함 탐지에 비중을 둡니다.</t>
  </si>
  <si>
    <t>시점</t>
  </si>
  <si>
    <t>가능해지는 분석</t>
  </si>
  <si>
    <t>아직 불가·주의</t>
  </si>
  <si>
    <t>근거</t>
  </si>
  <si>
    <t>0~3개월(시운전 직후)</t>
  </si>
  <si>
    <t>데이터 품질 게이트(결측·범위·고착·교정 이력). 월 발전량 대 기대치, PR·온도보정 PR(2주~1개월). 가용률·트립·알람 통계. 출력제어 분리. ESS 사이클별 RTE(완전 충방전 1회 이상). 전해조 비소비전력(부하 구간별), 운전·기동정지·OCV 대기 집계. 연료전지 효율·정지 간 평균 운전시간. 압축기 kWh/kg 기준점. 법정·교정 캘린더. 이 시기 부하·온도 구간별 기준값을 저장</t>
  </si>
  <si>
    <t>PV 열화율, ESS 수명, 스택 열화율 판정 금지. 전해조는 초기 1,000 h 활성화 구간이 끝나야 성능 기준점을 잡음. PV 가용률은 첫 6개월 저조 경향</t>
  </si>
  <si>
    <t>[3][10][26][32][38]</t>
  </si>
  <si>
    <t>3~6개월</t>
  </si>
  <si>
    <t>동종 비교(인버터·스트링·랙) 이상 탐지 안정화. 첫 오염 구간 분석(14일 이상 건조구간, 봄 황사·꽃가루). 인버터 효율·방열 추세 초안. ESS 셀 편차·온도 추세, 용량 잠정 추세. 전해조 운전 1,000 h 이후 기준점 설정. 연료전지 전압 추세 초안. 반복 고장 근본원인</t>
  </si>
  <si>
    <t>ESS 용량은 월 0.25%p(계산)라 계측 분해능과 겹침. 계절 효과 미분리</t>
  </si>
  <si>
    <t>[6][22][25][38]</t>
  </si>
  <si>
    <t>6~12개월</t>
  </si>
  <si>
    <t>여름 고온·장마 포함 계절 1주기 → 온도·공조 영향 분리. 오염·세척 비용편익 1차 최적화. 첫 연간 리포트(연간 PR·계약가용률). ESS 분기 용량 추세와 온도 영향. 전해조 첫 1,000 h 구간 열화율(태양광 연계 시 약 6개월 운전, 계산). 연료전지 분기 열화 추세. 압축기 신뢰성 통계·정비 비계획 비율</t>
  </si>
  <si>
    <t>PV YoY 불가(24개월 필요). 스택 잔여수명은 불확실성 큼</t>
  </si>
  <si>
    <t>[3][6][10][38][46]</t>
  </si>
  <si>
    <t>12~24개월</t>
  </si>
  <si>
    <t>전년 동월 비교 가능(기상보정). 전해조·연료전지 연간 열화율 확정 및 목표·보증 대비 평가. ESS 연간 수명 추세와 보강 시점 1차 예측. 첫 법정 정기검사 결과 반영(수소·ESS 1년). 개선과제 전후 효과 검증(OCV 회피, 세척 주기)</t>
  </si>
  <si>
    <t>24개월 시점에야 PV YoY 첫 추정(신뢰구간 넓음). ESS 고장 집중 구간(2년) 종료 전</t>
  </si>
  <si>
    <t>[3][4][27][31][32][42][43]</t>
  </si>
  <si>
    <t>24~36개월</t>
  </si>
  <si>
    <t>PV YoY 열화율 첫 산출(오염 영향 분리 방법 병행). 보증 선형 열화 대비 평가. 인버터 고장간격 초기 추정</t>
  </si>
  <si>
    <t>신뢰할 수 있는 PV 열화율은 3~5년 필요</t>
  </si>
  <si>
    <t>3~5년 이상</t>
  </si>
  <si>
    <t>신뢰도 높은 PV 열화율. Weibull 교체 예측·적립금. ESS 급락점 탐지, 보강·교체 의사결정. 스택 교체 시점 확정. 인버터 수명 중간 교체 준비. PCS 10년 대정비 계획. 법정 재검사(압력용기 4년, 용기·탱크 5년)와 정비계획 통합</t>
  </si>
  <si>
    <t>급락점은 사이클 후반에 나타나 장기 데이터 필요</t>
  </si>
  <si>
    <t>[4][8][12][25][29][44]</t>
  </si>
  <si>
    <t>리서치 주장 출처 대조 결과</t>
  </si>
  <si>
    <t>검증 에이전트가 출처 URL을 직접 열어 수치·조건을 대조했습니다. 반박·부분 확인 항목은 '출처 기준 문장'을 사용하세요.</t>
  </si>
  <si>
    <t>판정</t>
  </si>
  <si>
    <t>원 주장</t>
  </si>
  <si>
    <t>출처 기준 문장</t>
  </si>
  <si>
    <t>근거 URL</t>
  </si>
  <si>
    <t>반박</t>
  </si>
  <si>
    <t>N형 TOPCon 모듈(JinkoSolar Tiger Neo)의 Pmax 온도계수는 −0.29%/°C, 양면율은 80±5%이다(데이터시트). HJT는 약 −0.24%/°C, PERC는 약 −0.35~−0.38%/°C 수준(추정 범위)이다.</t>
  </si>
  <si>
    <t>JinkoSolar Tiger Neo 3.0 페이지 기준 Pmax 온도계수는 −0.26%/°C, 양면율은 85±5%이다. HJT(약 −0.24%/°C)·PERC(약 −0.35~−0.38%/°C)는 이 출처에서 확인되지 않은 추정 범위다.</t>
  </si>
  <si>
    <t>인용 URL은 Tiger Neo 3.0 페이지인데 −0.29%/°C·80±5%는 이전 세대 값으로 보임. 제품 세대와 데이터시트 모델명을 명시해야 함.</t>
  </si>
  <si>
    <t>https://www.jinkosolar.com/en/site/tigerneo_3</t>
  </si>
  <si>
    <t>단열압축 25 °C·압력비 3 토출 약 137 °C, API 618은 수소 계열 토출온도를 135 °C로 제한</t>
  </si>
  <si>
    <t>이상기체 단열압축(k≈1.41) 기준으로 수소를 25 °C에서 압력비 3으로 압축하면 토출온도는 약 137 °C다(계산값). API 618 6판은 일반 예측 토출온도 한계를 135 °C로 두고, 수소 풍부 서비스(분자량 12 이하)나 무급유 실린더는 120 °C로 제한한다.</t>
  </si>
  <si>
    <t>137 °C 계산은 맞다(137.2 °C). 그러나 EFRC 검토서 6.5.1절은 수소 풍부 서비스에 120 °C(250 °F)를 적용한다고 인용한다. '수소 계열 135 °C'는 틀렸고, 다이어프램 압축기 원리 항목에도 같은 오류가 있다.</t>
  </si>
  <si>
    <t>https://www.recip.org/wp-content/uploads/2025/05/EFRC-Report-Review-API-618-6th-edition-API-688-2nd-edition-Part-1-V1.pdf</t>
  </si>
  <si>
    <t>(사례) IJHE 2025/2016(일본·미국 비교): 비율 수치는 초록에 없음</t>
  </si>
  <si>
    <t>IJHE 2025(Tzioutzios et al.)는 일본 KHK 사고 DB를 분석한 연구로, 초록 하이라이트에 누출의 1/3이 안전계통에서 시작됐고 누출 7건 중 1건은 사람이 발견했다는 비율이 있다. 주 누출원은 밸브·조인트·씰이며 디스펜서·압축기 관여가 가장 많았다.</t>
  </si>
  <si>
    <t>DOI 논문은 일본·미국 비교가 아닌 일본 단일 DB 연구이고, 초록에 비율 수치가 실제로 있다. 2016년 비교 연구는 URL이 없어 확인하지 못했다.</t>
  </si>
  <si>
    <t>https://doi.org/10.1016/j.ijhydene.2025.151309</t>
  </si>
  <si>
    <t>SunEdison의 600여 PV 시스템 O&amp;M 분석에서 인버터는 이슈 빈도와 에너지 손실 모두 1위였고, 에너지 손실의 50%가 전체 사건의 5%에서 발생했다.</t>
  </si>
  <si>
    <t>SunEdison의 PV 시스템 450개, 27개월(2010.1~2012.3) 서비스 티켓 3,600건 분석에서 인버터는 이슈 빈도와 에너지 손실 모두 1위였고, 에너지 손실의 50%가 전체 사건의 5%에서 발생했다.</t>
  </si>
  <si>
    <t>분석 대상은 450개다. 슬라이드상 운영 규모는 750개 발전소 이상이며 '600여'는 어디에도 없다. ai_methods 그룹의 450개와도 다르다.</t>
  </si>
  <si>
    <t>https://pdfs.semanticscholar.org/7535/1afe78f698d9c94ea6f0e48183712c19a7d5.pdf</t>
  </si>
  <si>
    <t>(사례) SINTEF 컨소시엄 (EU FCH JU, 2018~2021): 이탈리아·벨기에 운전원이 원격 시험 운전에 성공. 수소 생산단가 4~6유로/kg 분석. 가용률·열화 수치는 요약에 미공개. 예산 692만 유로.</t>
  </si>
  <si>
    <t>SINTEF 주관 HAEOLUS(EU FCH JU, 2018.1~2023.12, 총사업비 778만 유로·EU 지원 499만 유로): 노르웨이 Raggovidda 풍력단지에 2.5MW 전해조를 연계했고, 이탈리아·벨기에 운전원의 원격 운전을 시연했으며, 수소 생산단가를 4~6유로/kg으로 분석했다.</t>
  </si>
  <si>
    <t>기간(2021→2023)과 예산(692만→총 778만/EU 499만 유로)이 CORDIS와 다르다.</t>
  </si>
  <si>
    <t>https://cordis.europa.eu/project/id/779469/reporting</t>
  </si>
  <si>
    <t>미확인</t>
  </si>
  <si>
    <t>모듈 단위 열전파 시험에서 NMC811 모듈은 표면온도 371.6°C에서 열전파가 시작된 반면 LFP는 첫 셀 열폭주가 436.6°C에서 발생했다.</t>
  </si>
  <si>
    <t>(미확인) 차량용 NMC-811(Mini Cooper SE)·LFP(Tesla Model 3 SR+) 모듈 열전파 비교 연구(eTransportation 2023)에서 NMC-811의 열폭주 반응 속도는 셀 에너지 기준 LFP보다 9배 빨랐다. 371.6°C·436.6°C 수치는 원문에서 확인하지 못했다.</t>
  </si>
  <si>
    <t>ScienceDirect 403으로 본문 확인 불가. 초록에는 해당 온도가 없음. 차량용 모듈 시험이라 정치형 ESS에 그대로 적용하면 안 됨.</t>
  </si>
  <si>
    <t>https://www.sciencedirect.com/science/article/pii/S2590116823000802</t>
  </si>
  <si>
    <t>(사례) TWAICE·InterEnergy(중미 40MWh BESS): 정량 복구량(MWh·%) 공개 자료 미확인 — 정성 사례(벤더 자료).</t>
  </si>
  <si>
    <t>(미확인) TWAICE·InterEnergy 고객 사례: 페이지 접근이 막혀 설비 규모와 정량 성과를 확인하지 못함.</t>
  </si>
  <si>
    <t>403으로 확인 불가. 40MWh·중미 여부도 미확인이므로 보고서에서는 빼거나 '미확인'으로 표시.</t>
  </si>
  <si>
    <t>https://www.twaice.com/customer-stories/interenergy-bess-performance-issues-warranties-and-capacity</t>
  </si>
  <si>
    <t>(사례) Stadtwerke Mainz·Linde·Siemens·RheinMain 응용과학대: 2015년 9월 전력 432.5 MWh, 수소 72,526 Nm³, HHV 기준 이용효율 59.4%, 운전 146 h. 풍력 예측오차 흡수로 밸런싱 에너지 약 20% 감소.</t>
  </si>
  <si>
    <t>(미확인) Energiepark Mainz(IJHE 2017) 운전 수치는 논문 원문에 접근하지 못해 확인하지 못했다.</t>
  </si>
  <si>
    <t>Elsevier 유료벽으로 본문 확인 불가하고 초록 메타데이터도 없음. 사전 발표자료 수치이므로 보고서에서는 '미확인'으로 표시하거나 빼야 함.</t>
  </si>
  <si>
    <t>https://doi.org/10.1016/j.ijhydene.2016.12.145</t>
  </si>
  <si>
    <t>(AI효과) 출력제어 예측: 제주는 연 100회 안팎 출력제어가 발생했고, 2023년 4월부터 호남·영남 등 육지로 확대되었다(환경일보).</t>
  </si>
  <si>
    <t>(미확인) 제주 출력제어 연 100회 안팎, 2023년 4월 육지 확대 — 출처 URL이 없어 확인하지 못함.</t>
  </si>
  <si>
    <t>URL 미제공. KPX·산업부 자료로 횟수와 시점을 다시 확인해야 함.</t>
  </si>
  <si>
    <t>McKinsey는 예지보전이 설비 정지시간을 30~50% 줄이고 설비 수명을 20~40% 늘린다고 제시한다(컨설팅 자료, 방법론 비공개).</t>
  </si>
  <si>
    <t>(원문 미확인) McKinsey 기사에 예지보전이 정지시간 30~50% 감소, 설비 수명 20~40% 연장을 가져온다는 서술이 있다고 알려져 있으나 확인하지 못했다. 보고서에는 '컨설팅사 추정, 원문 미확인'으로 표기한다.</t>
  </si>
  <si>
    <t>WebFetch 2회와 curl 모두 시간초과·연결 실패로 원문을 열지 못했다. 검색 예산도 소진돼 대체 출처를 찾지 못했다.</t>
  </si>
  <si>
    <t>https://www.mckinsey.com/capabilities/operations/our-insights/manufacturing-analytics-unleashes-productivity-and-profitability</t>
  </si>
  <si>
    <t>(사례) Avangrid(Iberdrola 그룹) × AWS: 정량 효과 미공개(정량 근거 미확인) / First Time Right Autopilot, Amazon Bedrock, 2개 풍력단지 배치</t>
  </si>
  <si>
    <t>(원문 미확인) Avangrid가 AWS 생성형 AI로 미국 풍력단지 정비를 지원하는 도구를 도입했다는 발표. 도구명·배치 단지 수·정량 효과는 미확인.</t>
  </si>
  <si>
    <t>WebFetch와 curl 모두 HTTP 403이라 열지 못했다.</t>
  </si>
  <si>
    <t>https://www.iberdrola.com/press-room/news/detail/avangrid-generative-ai-support-wind-farms-in-united-states</t>
  </si>
  <si>
    <t>(AI효과) 디지털 커미셔닝: TWAICE VERBUND 42MW 디지털 커미셔닝(2023, 정량 미공개) / (원리) Repsol 20MW/80MWh 보증 추적 사례</t>
  </si>
  <si>
    <t>(출처 미제시) TWAICE의 VERBUND 42MW 디지털 커미셔닝, Repsol 20MW/80MWh 보증 추적 사례는 확인하지 못했다.</t>
  </si>
  <si>
    <t>두 사례 모두 URL이 없고 웹 검색 예산이 소진돼 확인하지 못했다.</t>
  </si>
  <si>
    <t>https://www.accure.net/case-studies/imbalanced-racks-bring-commissioning-to-a-standstill</t>
  </si>
  <si>
    <t>부분 확인</t>
  </si>
  <si>
    <t>실리콘 태양전지의 개방전압(Voc)은 온도 1°C 상승당 약 2.2 mV 감소하고, 단락전류(Isc)는 일사량에 거의 비례한다.</t>
  </si>
  <si>
    <t>실리콘 태양전지의 개방전압(Voc)은 온도 1°C 상승당 약 2.2 mV 감소하고, 단락전류(Isc)는 온도 상승 시 약 0.06%/°C로 소폭 증가한다(Isc의 일사 비례성은 이 페이지가 아닌 별도 출처로 뒷받침 필요).</t>
  </si>
  <si>
    <t>Voc −2.2 mV/°C 확인. 인용 페이지는 온도 영향 페이지라 'Isc가 일사에 비례'한다는 내용은 없음(물리적으로는 통설이나 출처 불일치).</t>
  </si>
  <si>
    <t>https://www.pveducation.org/pvcdrom/solar-cell-operation/effect-of-temperature</t>
  </si>
  <si>
    <t>EN 50530 시험에서 P&amp;O와 증분 컨덕턴스(IncCond) MPPT의 효율 차이는 동적 0.13%, 정적 0.02%로 사실상 같고, 두 방식 모두 99% 이상의 효율을 보였다.</t>
  </si>
  <si>
    <t>EN 50530 시험에서 P&amp;O와 증분 컨덕턴스(IncCond) MPPT의 효율 차이는 동적 0.13%, 정적 0.02%에 불과해 두 방식은 사실상 동등하다(Sera et al., IEEE J. Photovoltaics 2013).</t>
  </si>
  <si>
    <t>차이 수치는 초록에서 확인. '둘 다 99% 이상'은 초록에 없고 본문 미확인이므로 삭제 또는 추정 표시 필요.</t>
  </si>
  <si>
    <t>https://vbn.aau.dk/en/publications/on-the-perturb-and-observe-and-incremental-conductance-mppt-metho/</t>
  </si>
  <si>
    <t>IEEE 1547-2018은 비의도적 단독운전 형성 후 2초 이내 검출·가압 중지·트립을 요구하며, 상용 인버터 대부분은 '임피던스 검출 + 양의 궤환' 계열 능동 검출법을 사용한다.</t>
  </si>
  <si>
    <t>IEEE 1547-2018은 비의도적 단독운전 형성 후 2초 이내에 가압 중지와 트립을 요구한다. 흔히 쓰이는 능동 검출법으로는 임피던스 검출, 양의 궤환 Sandia 주파수 편이(SFS), 임피던스 검출+양의 궤환 조합 등이 있으며, 제조사별 독자 방식도 쓰인다.</t>
  </si>
  <si>
    <t>NREL/TP-5D00-77782 원문에서 2초 요건 확인. '상용 인버터 대부분'이 특정 방식을 쓴다는 통계적 서술은 없음(각주: 'some common active methods include…', 제조사 독자 방식 가능). docs.nrel.gov 도메인은 접속 불가, docs.nlr.gov로 이전됨.</t>
  </si>
  <si>
    <t>https://docs.nlr.gov/docs/fy22osti/77782.pdf</t>
  </si>
  <si>
    <t>IEC/EN 62109-2 기반 비절연형 인버터의 잔류전류 감시장치(RCMU)는 30mA 이상 급변 또는 300mA 이상 연속 잔류전류에서 계통을 분리한다.</t>
  </si>
  <si>
    <t>SMA Sunny Boy Smart Energy 인버터는 IEC/EN 62109-2·VDE 0126-1-1에 따른 전극 감응형 잔류전류 감시장치(RCMU)를 갖추고, 잔류전류가 30mA 넘게 급변하면 계통에서 이중으로 분리한다(300mA 연속 기준은 이 매뉴얼에서 확인되지 않음).</t>
  </si>
  <si>
    <t>30mA 급변 기준만 확인. 300mA 연속 잔류전류 기준은 IEC 62109-2 원문으로 따로 확인해야 함. 특정 제조사 매뉴얼을 일반 규칙처럼 서술함.</t>
  </si>
  <si>
    <t>https://manuals.sma.de/SBSExx-50/en-US/13316496907.html</t>
  </si>
  <si>
    <t>스페인 1MW 사이트는 연 오염 손실이 2.8%에 불과했지만, 최적화된 세척 일정으로 이익이 최대 3.6% 증가했다.</t>
  </si>
  <si>
    <t>스페인 남부 1MW 사이트처럼 연 오염 손실이 3% 이내인 온화한 지역에서도 계절 오염으로 출력이 20% 넘게 떨어질 수 있으며, 여름철 ±31일 창 안에 연 1회 최적 세척을 하면 이익이 최대 3.6% 늘었다(Micheli et al., Energy 2021).</t>
  </si>
  <si>
    <t>ScienceDirect는 403. Semantic Scholar 초록으로 확인. 초록은 '연 3% 이내'라고만 하고 2.8%는 본문 미확인. 세척 창은 '31일'이 아니라 '±31일'.</t>
  </si>
  <si>
    <t>https://www.sciencedirect.com/science/article/abs/pii/S0360544220321253</t>
  </si>
  <si>
    <t>(사례) SunEdison(Golnas &amp; Voss, IEEE PVSC 2012): 인버터가 티켓 빈도·에너지 손실 모두 1위(2차 문헌 인용: 티켓 43%, 손실 36%). 에너지 손실의 50%가 사건 5%에서 발생(장기 정지). 27개월 미실현 발전량은 총 발전의 약 1%.</t>
  </si>
  <si>
    <t>SunEdison(Golnas &amp; Voss): 인버터가 이슈 빈도와 에너지 손실 비중 모두 1위였고, 에너지 손실의 50%가 사건의 5%(장기 정지)에서 발생했으며, 27개월 미실현 발전량은 총 발전의 약 1%였다.</t>
  </si>
  <si>
    <t>슬라이드 막대그래프에는 수치 라벨이 없어 '티켓 43%, 손실 36%'는 인용 URL에서 확인 불가. 2차 문헌의 서지를 따로 밝히거나 삭제해야 함.</t>
  </si>
  <si>
    <t>(사례) Raptor Maps(업계 보고서): 설비 기인 손실 2025년 5.08%(2021년 2.36%의 2배 이상). 손실 비중은 스트링 26.89%, 접속반 21.51%, 트래커 약 14%, 인버터 25% 미만. 연 5회 점검 사이트 약 3% vs 연 1회 약 7%. 도킹 드론 운영 사이트 평균 3%.</t>
  </si>
  <si>
    <t>Raptor Maps(업계 보고서): 설비 기인 손실은 2025년 5.08%(2021년 2.36%의 2배 이상)였고, 손실 비중은 스트링 26.89%, 접속반 21.51%, 트래커 약 14%, 인버터 25% 미만이었다. 연 1회 점검 사이트는 평균 약 7%, 연 5회 점검 사이트는 약 3%의 손실을 보였다(상관관계).</t>
  </si>
  <si>
    <t>'도킹 드론 운영 사이트 평균 3%'는 PV Tech 기사에 없음. 원 보고서에서 확인하지 못했다면 삭제해야 함.</t>
  </si>
  <si>
    <t>https://www.pv-tech.org/pv-project-power-loss-doubled-in-last-five-years-raptor-maps/</t>
  </si>
  <si>
    <t>(사례) Universidad de Jaén 등(Micheli et al., Energy 2021): 연 오염 손실 2.8%에서도 최적화 세척으로 이익 최대 3.6% 증가. 여름 31일 창 안에서 세척하면 수익성이 있음.</t>
  </si>
  <si>
    <t>Universidad de Jaén(Micheli et al., Energy 2021): 스페인 남부 1MW 설비(연 오염 손실 3% 이내 지역)에서 여름철 ±31일 창 안에 연 1회 최적 세척하면 이익이 최대 3.6% 늘었다.</t>
  </si>
  <si>
    <t>초록 기준. 2.8%는 본문 미확인이고, 창은 '±31일'.</t>
  </si>
  <si>
    <t>(AI효과) 비가역 열화율 추정(RdTools YoY)과 기술별·보증 대비 벤치마크: NREL PV Fleet 중앙 PLR −0.75%/yr, 서늘한 기후 −0.48, 더운 기후 −0.88%/yr(Jordan et al. 2022). YoY 방식은 센서 드리프트·데이터 이동·오염에도 강건하다(Jordan et al. 2018).</t>
  </si>
  <si>
    <t>NREL PV Fleet(7.2GW, 1,700개 사이트) PLR −0.75%/yr, 서늘한 기후 −0.48%/yr, 더운 기후 −0.88%/yr(Jordan et al. 2022). YoY 방식의 강건성(Jordan et al. 2018)은 본 검증에서 원문을 확인하지 못했다. 또한 NREL FY24 보고서는 CODS로 오염을 제외하면 열화율이 평균 약 −0.5%/yr라고 한다.</t>
  </si>
  <si>
    <t>PLR 수치는 확인. Jordan 2018 강건성 주장은 출처 URL이 없어 미확인. 오염이 PLR에 섞인다는 점(NREL 88769)도 함께 적어야 함.</t>
  </si>
  <si>
    <t>https://www.osti.gov/pages/biblio/1864619</t>
  </si>
  <si>
    <t>(AI효과) 오염 손실 추정과 경제적 세척 최적 시점: 스페인 1MW 사이트 연 오염 손실 2.8%, 세척 최적화로 이익 최대 3.6% 증가(Micheli 2021). 전 세계 오염 손실 2018년 최소 3~4%, 30~50억 유로(IEA PVPS).</t>
  </si>
  <si>
    <t>스페인 남부 1MW 사이트(연 오염 손실 3% 이내 지역)에서 여름 ±31일 창 안의 최적 연 1회 세척으로 이익이 최대 3.6% 증가(Micheli 2021). 전 세계 오염 손실은 2018년 연 발전량의 최소 3~4%, 30~50억 유로로 추정(IEA PVPS T13-21:2022).</t>
  </si>
  <si>
    <t>IEA 수치는 확인. Micheli 2.8%는 초록에서 미확인.</t>
  </si>
  <si>
    <t>https://iea-pvps.org/wp-content/uploads/2023/01/IEA-PVPS-T13-21-2022-EXEC-SUMM-Soiling-Losses-PV-Plants.pdf</t>
  </si>
  <si>
    <t>열폭주 시 최고온도는 고코발트 LCO/NMC 셀 853±24°C, 저코발트 NMC 678±13°C, LFP 404±23°C로 측정됐다.</t>
  </si>
  <si>
    <t>상용 18650 셀(LFP, NMC(111계 저코발트), LCO+NMC 혼합)을 과열로 열폭주시킨 실험에서 셀 온도가 최고 약 850°C까지 측정됐다(RSC Advances 2014). 화학별 ± 수치는 본 검증에서 원문을 확인하지 못했다.</t>
  </si>
  <si>
    <t>RSC 페이지 403. 초록(OpenAlex)에서 '최고 850°C'와 셀 구성만 확인. 853·678·404°C 개별 값은 미확인이며, 18650 소형 셀 결과임을 명시해야 함.</t>
  </si>
  <si>
    <t>https://pubs.rsc.org/en/content/articlehtml/2014/ra/c3ra45748f</t>
  </si>
  <si>
    <t>(AI효과) BMS 독립 SOC 재추정: Accure ±15%→±2%. EKF SOC 추정 오차 2% 이내 보고, 모델 미갱신 시 약 3% 차이(Sci Rep 2025).</t>
  </si>
  <si>
    <t>ACCURE 2025: LFP SOC 오차 ±15%가 흔하며 고급 분석 시 ±2%(벤더 자료). Scientific Reports 2025(EV용 리튬이온 셀 EKF 하드웨어 구현): 측정값과 추정값 오차 2% 이내. '모델 미갱신 시 약 3%'는 초록에서 확인되지 않음.</t>
  </si>
  <si>
    <t>EKF 2%는 초록에서 확인. 3% 차이는 미확인. 셀 단위 EV 실험이라 LFP 계통용 ESS에 그대로 옮기면 안 됨.</t>
  </si>
  <si>
    <t>https://www.nature.com/articles/s41598-025-99931-8</t>
  </si>
  <si>
    <t>22대 알칼라인 전해조 플랜트에서 온도·HTO 동특성을 반영한 생산 스케줄링은 기존 방식 대비 수소 생산을 7.74%, 이익을 8.72% 높였다. PV 연계 사례 평균은 수소 +0.807%, 이익 +0.982%였다(시뮬레이션).</t>
  </si>
  <si>
    <t>풍력 직결을 가정한 22대(총 110MW) 알칼라인 전해조 플랜트 단일 사례에서 온도·HTO 동특성을 반영한 스케줄링은 기존 방식보다 수소 생산을 7.74%, 이익을 8.72% 높였다. 소규모 플랜트(5MW급 전해조) 사례 평균은 풍력 연계 수소 +1.021%·이익 +1.438%, PV 연계 수소 +0.807%·이익 +0.982%였다(시뮬레이션).</t>
  </si>
  <si>
    <t>수치는 맞지만 7.74%·8.72%가 '풍력 직결' 단일 사례라는 조건이 빠짐. 원문도 상세 비교는 지면상 생략. PV 연계 기대효과는 약 1% 수준으로 서술해야 함.</t>
  </si>
  <si>
    <t>https://arxiv.org/abs/2301.12242</t>
  </si>
  <si>
    <t>추정 계산: 시스템 SEC 55 kWh/kg에 전력배출계수 0.4173 tCO2eq/MWh를 적용하면 계통전력만으로 생산한 수소는 약 22.9 kgCO2e/kg이다. 월 단위 미매칭 계통전력 비중이 약 0.44%를 넘으면 1등급 한도(0.10)를, 약 17%를 넘으면 인증 기준(4.0)을 초과한다.</t>
  </si>
  <si>
    <t>(추정) SEC 55 kWh/kg × 국가 전력배출계수 0.4173 tCO2eq/MWh ≈ 23.0 kgCO2e/kg이므로, 다른 배출을 0으로 두면 계통전력 비중 약 0.44%에서 1등급 한도(0.10), 약 17%에서 4등급 상한(4.0)에 이른다. 다만 인증 전과정평가에 쓰는 계통전력 배출계수는 고시의 기본 제공 데이터로 따로 확인해야 한다.</t>
  </si>
  <si>
    <t>산술은 맞음(22.95, 0.436%, 17.4%). 하지만 국가 전력배출계수(Scope 2 산정용)가 청정수소 LCA의 계통전력 계수와 같다는 전제는 검증되지 않음. 제12조상 미매칭 전력은 비율 배분이 아니라 데이터 적격성 문제로 다뤄질 수 있음.</t>
  </si>
  <si>
    <t>https://k-esg.org/esghub/esg_news_view?idx=4184</t>
  </si>
  <si>
    <t>미국 45V 최종규정(2025-01-03 발표)은 2029년까지 연간 매칭, 2030년부터 모든 설비에 시간 단위 매칭을 요구한다. 또한 수소설비 가동 전후 36개월 이내 가동한 전원(신규성)과 동일 계통지역(전달성)을 요건으로 한다.</t>
  </si>
  <si>
    <t>미국 재무부 45V 최종규정(2025-01-03 발표)은 연간 매칭 허용 기간을 제안안보다 2년 늘리고 2030년부터 모든 설비에 시간 단위 매칭을 요구한다. 신규성은 발전설비가 수소설비 가동(placed in service) 시점 기준 36개월 이내에 상업운전을 시작한 경우(또는 그 기간 내 증설분)로 인정하고, 전달성은 같은 계통지역을 요건으로 한다.</t>
  </si>
  <si>
    <t>보도자료와 대체로 일치. '가동 전후 36개월'은 수소설비보다 늦게 가동한 전원이 36개월 뒤면 제외되는 것처럼 읽힐 수 있어 규정 원문 표현으로 고칠 것을 권고.</t>
  </si>
  <si>
    <t>https://home.treasury.gov/news/press-releases/jy2768</t>
  </si>
  <si>
    <t>2026년 9월 확인 기준 OPC Foundation 온라인 레퍼런스의 발행 사양 목록에 수전해 Companion Specification은 없다. OPC Foundation·VDMA Power-to-X 공동 작업(MTP VDI/VDE/NAMUR 2658 호환 목표)이 진행 중이다.</t>
  </si>
  <si>
    <t>2026년 9월 확인 기준 OPC Foundation 온라인 레퍼런스의 발행 사양 목록에 수소·수전해·Power-to-X 관련 Companion Specification은 없다. VDMA Power-to-X 공동 작업의 진행 여부는 이 URL에서 확인되지 않는다.</t>
  </si>
  <si>
    <t>사양 부재는 확인. 공동 작업·MTP 호환 목표는 별도 출처(VDMA/OPC 공동 워킹그룹 공지)가 필요함.</t>
  </si>
  <si>
    <t>https://reference.opcfoundation.org/</t>
  </si>
  <si>
    <t>(AI효과) 예측 기반 통합 스케줄링: 22대 플랜트 수소 +7.74%·이익 +8.72%, PV 평균 +0.807%·+0.982%, PV 직결 +1.627%, 단순모델 −1.8%·−13.5%, IRENA 3,000~4,000시간.</t>
  </si>
  <si>
    <t>모두 시뮬레이션: 풍력 직결 22대 플랜트 단일 사례 수소 +7.74%·이익 +8.72%, PV 연계 사례 평균 수소 +0.807%·이익 +0.982%(Qiu 2023). PV 직결 이익 +1.627%(Qiu 2022). 단순 모델 사용 시 이익 −1.8%·수소 −13.5% 사례(Baumhof 2023). IRENA 2020: 연 3,000~4,000시간이면 투자비 기여를 크게 줄일 수 있음.</t>
  </si>
  <si>
    <t>22대 사례가 풍력 조건이라는 점이 빠져 PV 사이트 기대효과가 부풀려질 수 있음.</t>
  </si>
  <si>
    <t>(AI효과) 탄소집약도·월 매칭 추적: 제12조 월 단위 일치·동일 전력망. SEC 55 kWh/kg × 0.4173 → 약 22.9 kgCO2e/kg, 미매칭 0.44% 초과 시 1등급 초과.</t>
  </si>
  <si>
    <t>고시 제12조는 수전해 투입 전력이 저탄소 전원과 월 단위로 일치하고 동일 전력망에 연결될 것을 적격 요건으로 한다. (추정) 국가 전력배출계수 0.4173을 그대로 쓰면 계통전력만으로 만든 수소는 약 23 kgCO2e/kg이어서, 계통전력 비중 약 0.44%만으로 1등급 한도에 이른다. 인증 LCA의 계통전력 계수는 따로 확인해야 한다.</t>
  </si>
  <si>
    <t>조문은 확인. 추정 계산의 배출계수 전제는 검증되지 않음.</t>
  </si>
  <si>
    <t>https://www.law.go.kr/admRulLsInfoP.do?admRulSeq=2100000237332</t>
  </si>
  <si>
    <t>운전곡선 추종 제어·MPC로 알칼라인 최소부하 27.5%→10.5%·10% 확대(Qi 2021)</t>
  </si>
  <si>
    <t>부하에 따라 계통 압력을 낮추는 운전곡선 추종(OCT) 제어기와 MPC를 설계한 시뮬레이션 사례연구(피크 셰이빙 시나리오)에서, 알칼라인 전해 시스템의 최소부하가 기존 일정압력 제어 27.5%에서 OCT 10.5%, MPC 10%로 확대되었다.</t>
  </si>
  <si>
    <t>인용 URL(ScienceDirect)은 403으로 열리지 않아 같은 논문 초록(Qi et al., IJHE 2021, 'Pressure control strategy to extend the loading range of an AEL system')으로 확인했다. 수치는 맞지만 동적 불순물 모델 기반 사례연구 결과이지 실설비 실증이 아니다. '확대했다'는 표현이 실적처럼 읽힌다.</t>
  </si>
  <si>
    <t>https://doi.org/10.1016/j.ijhydene.2021.08.069</t>
  </si>
  <si>
    <t>HTO·온도 동특성 반영 스케줄링: 최소부하 34% AWE, 22대 플랜트 수소 +7.74%·수익 +8.72%(PV 직결 평균 수소 +0.807%)</t>
  </si>
  <si>
    <t>HTO·온도 동특성을 반영한 MILP 스케줄링은 정상상태 최소부하 34%인 AWE를 단시간 저부하로 운전하게 한다. 시뮬레이션에서 PV 100개 시나리오 평균 수소 +0.807%·수익 +0.982%(풍력 25개 시나리오 +1.021%/+1.438%)였고, 풍력 직결을 가정한 22대 플랜트 1일 사례에서는 기존 방식 대비 수소 +7.74%·수익 +8.72%였다(재생발전 예측은 완벽하다고 가정).</t>
  </si>
  <si>
    <t>수치는 모두 원문과 맞는다. 다만 22대 사례는 내몽골 건설 중 플랜트 규모를 빌린 풍력 직결 단일 시뮬레이션이고, 논문 스스로 예측 오차를 고려하지 않았다고 한계를 밝혔다. PV 사례와 나란히 쓰면 태양광에서도 7.7%가 난다고 오해하기 쉽다.</t>
  </si>
  <si>
    <t>3 MW 알칼라인 전해조에서 트랜지스터 토폴로지가 6펄스 사이리스터 대비 SEC 최대 4.5% 저감</t>
  </si>
  <si>
    <t>산업규모 알칼라인 전해조에서 트랜지스터 기반 전원 토폴로지는 기존 6펄스 사이리스터 브리지 대비 전해조 비에너지소비량(SEC)을 최대 4.5% 낮출 수 있다(Koponen et al., J. Power Sources 491, 2021).</t>
  </si>
  <si>
    <t>ADS 링크는 캡차에 막혀 Semantic Scholar·LUTPub 초록으로 확인했다. 4.5%는 일치한다. '3 MW'는 초록에 없고 원문도 접근하지 못해 확인하지 못했다. 정확한 DOI는 10.1016/j.jpowsour.2020.229443이다.</t>
  </si>
  <si>
    <t>https://doi.org/10.1016/j.jpowsour.2020.229443</t>
  </si>
  <si>
    <t>AWE 온도제어에 스택 약 6분·냉각 약 4분 지연, 풍력 입력에서 약 8 °C 변동으로 설정 65 °C</t>
  </si>
  <si>
    <t>5 Nm³/h 상용 알칼라인 설비 실험에서 스택 약 6분·냉각 약 4분의 열전달 지연이 확인되어 PID 튜닝이 어렵다. 인용 문헌 사례에서는 풍력 입력(정격 40~100% 전류 변동)에서 온도가 약 8 °C 흔들려 전해액 온도를 65 °C로 운용했고, 허용 한계 90 °C보다 낮아 효율을 희생했다.</t>
  </si>
  <si>
    <t>지연값은 5 Nm³/h 한 대에서 얻은 값이라 알칼라인 설비 일반으로 넓히면 과장이다. 8 °C·65 °C는 저자들의 실측이 아니라 논문이 인용한 문헌 [8]의 사례다.</t>
  </si>
  <si>
    <t>https://arxiv.org/abs/2210.00801</t>
  </si>
  <si>
    <t>(사례) NEDO·Toshiba ESS·Tohoku·Iwatani·Asahi Kasei FH2R: 정격 1,200 Nm³/h, 예비력 상품(FRR·RR·RR-FIT) 수준 확인</t>
  </si>
  <si>
    <t>NEDO·도시바ESS·도호쿠전력·이와타니: 후쿠시마 FH2R(2020.3 개소)의 10 MW급 수소 생산설비로 수요반응 응답이 일본 수급조정시장 상품(FRR·RR·RR-FIT)에 상당함을 확인했다(FY2016~2025 사업). 운영 효율·가동률 수치는 공개되지 않았다.</t>
  </si>
  <si>
    <t>인용 보도자료에는 '10 MW-class'만 있고 정격 1,200 Nm³/h와 Asahi Kasei는 나오지 않는다. 쓰려면 별도 출처가 필요하다.</t>
  </si>
  <si>
    <t>https://www.global.toshiba/ww/news/energy/2023/04/news-20230427-01.html</t>
  </si>
  <si>
    <t>(사례) arXiv 2501.14576: 셀전압 RMSE &lt;0.032 V, 온도 ±4.0 K·HTO ±0.14%p, 부하추종 차 &lt;0.015 MW, SEC 차 &lt;0.001 kWh/Nm³</t>
  </si>
  <si>
    <t>중국 북부 4,000 Nm³/h 산업 AWE 데이터 연구(arXiv 2501.14576): 셀전압 모델 RMSE 0.028~0.033 V(스택 4기, 1,000 A/m² 이상), 온도 RMSE 입구 4.0 K·출구 3.7 K, HTO 농도 RMSE 0.14%p(검증셋 4.0 K·0.148%). 풍력 공급 시뮬레이션에서 4-in-1과 1-in-1 4기의 부하추종·온도안정 오차·SEC 차이는 0.015 MW, 0.346 K, 0.001 kWh/Nm³ 미만.</t>
  </si>
  <si>
    <t>스택 3의 RMSE가 0.03294 V라 '&lt;0.032 V'는 틀리다. 온도·HTO 값은 RMSE인데 '±'로 적어 오차 범위처럼 읽힌다. 4-in-1 비교는 실측이 아닌 풍력 공급 시뮬레이션이다.</t>
  </si>
  <si>
    <t>https://arxiv.org/html/2501.14576v3</t>
  </si>
  <si>
    <t>(사례) Koponen 2021: 트랜지스터 토폴로지 SEC 최대 4.5% 저감, 넓은 부분부하 영역에서 스택 SEC 최소화</t>
  </si>
  <si>
    <t>LUT University(Koponen et al., J. Power Sources 491, 2021): 트랜지스터 기반 토폴로지는 기존 6펄스 사이리스터 브리지 대비 전해조 SEC를 최대 4.5% 낮출 수 있다. 사이리스터 정류기는 AC·DC 양측 전력품질이 나빠 SEC가 최적이 아니고 무효전력 성분이 크다.</t>
  </si>
  <si>
    <t>4.5%는 확인했다. '넓은 부분부하 영역에서 스택 SEC 최소화'라는 문장은 초록에 없고 원문에 접근하지 못해 확인하지 못했다.</t>
  </si>
  <si>
    <t>(AI효과) 태양광 예측 연계 스케줄링: PV +0.807%·+0.982%, 22대 +7.74%·+8.72%, 최소부하 27.5%→10%, MILP 가용에너지 89.7%·가동률 93.7%·기동정지 764회, 마인츠 밸런싱 20% 감소</t>
  </si>
  <si>
    <t>HTO·온도 동특성 반영 스케줄링: PV 시나리오 평균 수소 +0.807%·수익 +0.982%(Qiu 2023). 22대 사례 +7.74%/+8.72%는 풍력 직결에 예측이 완벽하다고 가정한 시뮬레이션이다. 압력 연동 제어로 AWE 최소부하 27.5%→10%(Qi 2021, 시뮬레이션). 풍력 예측오차 흡수 시 밸런싱 에너지 20% 감소(마인츠, 자체 분석 틀). MILP 89.7%·93.7%·764회는 출처 미확인.</t>
  </si>
  <si>
    <t>Qiu 2023은 예측 오차를 고려하지 않았으므로 '태양광 예측 연계' AI 효과의 근거로 쓰면 과장이다. MILP 수치(IJHE 2021)는 URL이 없어 검증하지 못했다.</t>
  </si>
  <si>
    <t>(AI효과) 운전 패턴 스트레스 귀속: HFR 1.6배(Weiß 2019), 87.7% vs 101.6%(JACS Au 2022), 0.3 A/cm²/s에서 열화 +183%, 1 h 주기 +64%(Energy and AI 2026)</t>
  </si>
  <si>
    <t>OCV 유휴 포함 3↔0.1 A/cm² 사이클 718회 후 HFR 약 1.6배, 1.3 V 유지 500사이클에서는 열화 미발생(Weiß 2019, JES). 보호 없는 영간격 AWE 40회 기동정지 후 전류 유지율 87.7% vs Zn 희생금속 보호 101.6%(JACS Au 2022, 실험실). 전류밀도 변화율·주기별 열화 증가율(+183%, +64%)은 출처 미확인.</t>
  </si>
  <si>
    <t>앞의 두 연구는 확인했다. 'Energy and AI 2026' 수치는 1차 리서치에도 URL 없이 '2026 데이터기반 연구'로만 적혀 있어 검증할 수 없었다.</t>
  </si>
  <si>
    <t>https://iopscience.iop.org/article/10.1149/2.0421908jes</t>
  </si>
  <si>
    <t>수소 공기 중 가연범위 4~75 vol%, MIE 0.017 mJ, MESG 0.08 mm</t>
  </si>
  <si>
    <t>수소의 공기 중 가연범위는 4~75 vol%(NTP), 최소점화에너지는 0.017 mJ이며, Molkov(2012)는 수소의 가장 좁은 최대안전틈새(MESG)를 0.08 mm로 제시한다(방폭기기 분류에 쓰는 IEC 표준 MESG 값은 따로 확인이 필요하다).</t>
  </si>
  <si>
    <t>세 값 모두 HyResponder 슬라이드와 일치한다. 다만 0.08 mm는 Molkov 교재 인용이고, 방폭 분류 실무에서는 IEC 60079-20-1 표값(약 0.29 mm로 널리 인용)을 쓰는 경우가 많다. 이 검증에서는 표준 원문을 열어보지 못했으니 방폭 설계 근거로 쓰기 전에 확인해야 한다.</t>
  </si>
  <si>
    <t>https://hyresponder.eu/wp-content/uploads/2021/04/Lecture-2-slides.pdf</t>
  </si>
  <si>
    <t>순수소 화염은 옅은 청색으로 주간에 보이지 않으며 복사율 0.1 미만</t>
  </si>
  <si>
    <t>순수소 화염은 옅은 청색으로 주간에 보이지 않고, 복사율은 0.1 미만(ADL, 1960)으로 보고되지만 Sandia 연구는 0.3 미만으로 제시한다. 실제 제트화염은 빨려 들어간 입자 때문에 보일 수도 있다.</t>
  </si>
  <si>
    <t>같은 슬라이드에 Sandia의 &lt;0.3이 함께 실려 있는데 0.1 미만만 골라 단정했다.</t>
  </si>
  <si>
    <t>수소 줄-톰슨 역전온도 약 200 K, 상온 교축 시 온도 상승(착화 수준 아님)</t>
  </si>
  <si>
    <t>수소의 줄-톰슨 역전온도는 50 bar 미만에서 약 190 K(−83 °C)이므로, 상온에서 교축 팽창하면 온도가 내려가지 않고 약간 오른다.</t>
  </si>
  <si>
    <t>출처는 약 190 K(50 bar 미만)로 적었다. '착화할 수준은 아님'은 이 출처에 없는 서술이다. 역전온도는 압력에 따라 달라진다.</t>
  </si>
  <si>
    <t>https://arxiv.org/pdf/1702.06015</t>
  </si>
  <si>
    <t>수소법상 수소연료사용시설 정기검사 매 1년(다중이용시설 매 6개월) 전후 30일 이내</t>
  </si>
  <si>
    <t>수소법 시행령 제50조에 따라 수소연료사용시설 사용자는 완성검사증명서 발급일을 기준으로 매 1년(다중이용시설은 매 6개월)이 되는 날의 전후 30일 이내에 정기검사를 받는다.</t>
  </si>
  <si>
    <t>내용은 법제처 시행령 제50조(2026.1.2 시행본)로 확인했다. 그러나 인용한 연구개발특구진흥재단 체크리스트(innopolis)에는 이 문구가 없으니 출처를 시행령으로 바꿔야 한다.</t>
  </si>
  <si>
    <t>https://www.law.go.kr/법령/수소경제육성및수소안전관리에관한법률시행령</t>
  </si>
  <si>
    <t>(사례) Nel ASA/Uno-X: 관련 법인에 총 NOK 2,500만 벌금(h2-view)</t>
  </si>
  <si>
    <t>Nel ASA/Uno-X(조사 Gexcon): 근본원인은 고압 저장유닛 탱크의 특정 플러그 조립 오류였다. 벌금 규모는 인용 출처에서 확인되지 않았다.</t>
  </si>
  <si>
    <t>NOK 2,500만 벌금은 인용 URL(Nel 보도자료)에 없다. h2-view 기사 URL을 따로 달아야 한다.</t>
  </si>
  <si>
    <t>https://nelhydrogen.com/press-release/nel-asa-status-update-5-regarding-incident-at-kjorbo/</t>
  </si>
  <si>
    <t>2026년 입찰 개설물량 청정수소 500 GWh, 일반수소 930 GWh, 석탄-암모니아 혼소 청정수소 지원 제외</t>
  </si>
  <si>
    <t>기후에너지환경부가 2026년 6월 9일 행정예고한 고시 개정안 기준으로, 2026년 수소발전 입찰 개설물량은 청정수소 500 GWh, 일반수소 930 GWh이며 석탄-암모니아 혼소는 청정수소발전 입찰 지원 대상에서 제외된다(의견수렴 후 확정 예정).</t>
  </si>
  <si>
    <t>수치는 일치하지만 행정예고 단계 내용이다. 확정 고시 여부를 확인하지 않고 확정 사실처럼 썼다.</t>
  </si>
  <si>
    <t>https://www.newspim.com/news/view/20260609000406</t>
  </si>
  <si>
    <t>2026 개편에서 일반수소 입찰 3년 후 존속 재검토, 연료전지 탄소포집 추가·열 활용 개선 시 가점</t>
  </si>
  <si>
    <t>2026년 6월 행정예고 당시 정부는 일반수소 입찰 지원을 중장기적으로 줄이되 3년 후 존속 여부를 재검토하겠다고 했고, 연료전지에 대해서는 열 활용 가점을 올리거나 CCUS 설비 도입 시 가점을 주는 방안을 추진한다고 밝혔다.</t>
  </si>
  <si>
    <t>정부 관계자가 밝힌 계획·방침이지 확정된 평가기준이 아니다. '가점을 받을 수 있다'는 단정은 과장이다.</t>
  </si>
  <si>
    <t>https://www.asiae.co.kr/article/2026060915313849460</t>
  </si>
  <si>
    <t>Bloom ES 5.5(330 kW) 도시가스 누적 전기효율 65~53%(LHV 순AC), 원격 관리; 2024.8 수소 SOFC 약 60%·CHP 90%</t>
  </si>
  <si>
    <t>Bloom Energy Server 5.5(330 kW) 데이터시트는 도시가스 누적 전기효율을 65~53%(LHV 순AC, 65%는 ASME PTC 50 검증)로 적고, 'Bloom Energy가 원격 관리·감시'한다고 명시한다.</t>
  </si>
  <si>
    <t>데이터시트 내용은 확인했다. '2024년 8월 수소 SOFC 약 60%, CHP 90%'는 이 2023년 데이터시트에 없으니 블룸 보도자료 URL을 따로 달아야 한다.</t>
  </si>
  <si>
    <t>https://bloomenergy.m3iworks.com/wp-content/uploads/bloom-energy-server-datasheet-2023.pdf</t>
  </si>
  <si>
    <t>UCL: 같은 MEA 99~100%, 다른 MEA 약 33%, 새 MEA 20% 추가 시 1D-CNN 95.1%</t>
  </si>
  <si>
    <t>UCL 연구에서 전압 응답 기반 ML 고장진단은 같은 MEA에서 99~100% 정확도였다. 학습에 없던 다른 MEA에서는 1D-CNN·SVM이 약 33%(3클래스 무작위 수준), DNN은 약 72~73%로 떨어졌고, 새 MEA 데이터 20%를 학습에 넣으면 1D-CNN 95.1%, DNN 83.0%, 선형 SVM 66.2%였다(실험실, 상용 시스템 미검증).</t>
  </si>
  <si>
    <t>33%는 1D-CNN과 SVM에 한정된 결과다. DNN은 약 72~73%를 유지했으므로 모든 모델이 무작위 수준으로 떨어진 것처럼 쓰면 틀린다.</t>
  </si>
  <si>
    <t>https://pmc.ncbi.nlm.nih.gov/articles/PMC12446379/</t>
  </si>
  <si>
    <t>경기그린에너지 화성 MCFC(2.8 MW×21, 58.8 MW) 2024.12 가동률 50% 이하, FCE와 약 1억6,000만 달러 7년 LTSA로 스택 순차 교체</t>
  </si>
  <si>
    <t>경기그린에너지 화성 MCFC 발전소(2.8 MW×21기, 58.8 MW)는 대표이사 기고(2024.12.3) 기준 설비가동률 50% 이하였고, 2024년 6월 퓨얼셀에너지와 직접 계약해 2024년 9월~2025년 21개 호기를 수명 7년짜리 스택으로 단계 교체하기로 했다.</t>
  </si>
  <si>
    <t>인용 URL은 기사가 아닌 경기그린에너지 대표 기고문(이해관계자)이다. '약 1억6,000만 달러'는 본문에 없어 확인하지 못했다(관련기사 제목에 '7년 유지보수 계약'만 보인다).</t>
  </si>
  <si>
    <t>https://www.h2news.kr/news/articleView.html?idxno=13121</t>
  </si>
  <si>
    <t>(사례) 경기그린에너지/FCE: 가동률 50% 이하, 연 약 42~43만 MWh, 7년 LTSA 1.6억 달러, 2021.1 전국 MCFC 174.8 MW 중 30% 가동 불가(경인일보)</t>
  </si>
  <si>
    <t>경기그린에너지(한수원·삼천리·포스코 출자)/FuelCell Energy: 2024년 설치 4~5년차 호기 대부분의 잦은 고장으로 설비가동률 50% 이하. 연 최대 42만3,000 MWh 생산 설비. 2024년 6월 FCE와 직접 계약, 2024년 9월~2025년 21개 호기를 수명 7년 스택으로 단계 교체.</t>
  </si>
  <si>
    <t>1억6,000만 달러(약 2,000억원)와 경인일보 인용 수치(174.8 MW 중 30%)는 인용 URL에 없다. 필요하면 원 기사 URL을 따로 달아야 한다.</t>
  </si>
  <si>
    <t>(사례) UCL iScience 2025: 같은 MEA 1D-CNN·SVM 100%, DNN 99.17%, 다른 MEA 약 33%, 결합 99.2%, 20% 추가 95.1/83.0/66.2%</t>
  </si>
  <si>
    <t>UCL Electrochemical Innovation Lab(iScience 2025): 같은 MEA에서 1D-CNN·SVM 100%, DNN 99.17%. 다른 MEA에 적용하면 1D-CNN·SVM 약 33%(무작위 수준), DNN 약 72~73%. 두 MEA 데이터를 합치면 1D-CNN 99.2%. 원본 80%+새 MEA 20% 학습 시 1D-CNN 95.1%, DNN 83.0%, 선형 SVM 66.2%. 상용 시스템에서는 검증하지 않았다.</t>
  </si>
  <si>
    <t>DNN이 다른 MEA에서 72~73%였다는 점이 빠져 일반화 실패를 과장했다.</t>
  </si>
  <si>
    <t>(사례) Bloom: 330 kW, 누적 전기효율 65~53%(65% ASME PTC 50), 수소 60%·CHP 90%(2024.8), 물 소비 없음</t>
  </si>
  <si>
    <t>Bloom Energy(국내 합작 블룸SK퓨얼셀): Energy Server 5.5는 330 kW, 도시가스 누적 전기효율 65~53%(LHV 순AC, 65%는 ASME PTC 50 검증), 정상 운전 중 물 소비 없음, 블룸이 원격 관리·감시.</t>
  </si>
  <si>
    <t>수소 운전 전기효율 약 60%·CHP 90%(2024.8)는 인용 데이터시트에 없어 확인하지 못했다.</t>
  </si>
  <si>
    <t>(사례) 산업부·KPX: 52개, 180.55 MW, 1,355 GWh, 2.4:1(이용률 약 86%), 두산 62/73/60%, 2026 930 GWh(125 MW, 30.2% 감소), 미코파워 국산화율 99.7%</t>
  </si>
  <si>
    <t>산업통상자원부·KPX: 2025년 4차 일반수소 입찰 52개 발전소, 180.55 MW, 1,355 GWh/년, 경쟁률 2.4:1(계약물량은 연 이용률 약 86%에 해당, 계산값). 두산퓨얼셀 낙찰 비중 2023년 62%, 2024년 73%, 2025년 60%. 2026년 일반수소 개설물량 930 GWh(약 125 MW, 179 MW 대비 30.2% 감소, 행정예고 기준). 미코파워(SOFC)·HD하이드로젠 첫 낙찰.</t>
  </si>
  <si>
    <t>이용률 86%는 다시 계산해 확인했다(1,355 GWh ÷ (180.55 MW×8,760 h) = 0.857). 두산 비중·125 MW는 뉴스핌 기사에서 확인했다. '미코파워 국산화율 99.7%'는 어느 인용 기사에서도 확인하지 못했다.</t>
  </si>
  <si>
    <t>https://www.dnews.co.kr/uhtml/view.jsp?idxno=202508180830309050942</t>
  </si>
  <si>
    <t>(사례) 칭화대 Pei 연구팀(IJHE 2008): 기동정지 0.00196%/회 등, 후속 인용 기여도 부하변동 약 57%·기동정지 약 33%</t>
  </si>
  <si>
    <t>칭화대 Pucheng Pei 연구팀(IJHE 2008, 자동차용 연료전지 수명 평가): 기동정지 0.00196%/회, 부하변동 0.0000593%/회, 아이들 0.00126%/h, 고출력 0.00147%/h(2차 인용). 후속 문헌 인용 기준 성능 저하 기여도는 부하변동 약 57%, 기동정지 약 33%.</t>
  </si>
  <si>
    <t>ScienceDirect 원문은 열지 못했다. 계수는 UPC 석사논문 부록 코드로, 기여도(56.78%/33.17%)는 Scientific Reports 2022 인용문으로만 확인했다. 차량 주행사이클 기반이라 정치형 발전에 그대로 쓰면 안 된다.</t>
  </si>
  <si>
    <t>https://www.sciencedirect.com/science/article/abs/pii/S036031990800476X</t>
  </si>
  <si>
    <t>실제 PV 인버터 약 200대(약 85대 고장, 교체 103건)의 5분 데이터로 학습한 ESCNN 고장 예지 모델이 정확도 94% 이상, F1 약 92%를 기록했다(단일 비공개 데이터셋).</t>
  </si>
  <si>
    <t>산업체 2곳이 제공한 주거·상업용 PV 인버터 700여 대(440개 사이트, 5분 데이터, 전체 중 약 85대가 1회 이상 고장·교체 103건) 가운데 약 200대로 학습·검증한 ESCNN 모델이 5겹 교차검증 평균 정확도 94% 이상, F1 약 92%를 기록했다(비공개 데이터셋, 비교 모델 CNN-GAP 88%).</t>
  </si>
  <si>
    <t>DOI 페이지는 유료라 OSTI 공개본으로 확인했다. '85대 고장'은 700여 대 전체 기준이라 200대 중 85대로 읽히면 안 된다. 주거·상업용 인버터라 발전소급 중앙 인버터로 옮기는 데 한계가 있다.</t>
  </si>
  <si>
    <t>https://www.osti.gov/biblio/2575731</t>
  </si>
  <si>
    <t>EL 이미지 셀 1,968개 결함 분류에서 CNN은 평균 정확도 88.42%, 수작업 특징+SVM은 82.44%를 기록했다.</t>
  </si>
  <si>
    <t>EL 이미지에서 추출한 셀 2,624개 중 1,968개(75%)로 학습하고 656개로 시험한 결함 분류에서 CNN 평균 정확도 88.42%, 수작업 특징+SVM 82.44%를 기록했다.</t>
  </si>
  <si>
    <t>1,968개는 학습 세트다. 시험 세트는 656개다. 수치 자체는 맞다.</t>
  </si>
  <si>
    <t>https://arxiv.org/abs/1807.02894</t>
  </si>
  <si>
    <t>국내 재생에너지 발전량 예측제도는 20MW 이상 발전사업자(또는 20MW 이상 집합자원)가 하루 전 예측을 제출해 예측오차율 8% 이하일 때 3~4원/kWh를 정산받는 구조다(2021년 10월 시행).</t>
  </si>
  <si>
    <t>2020년 9월 확정된 전력시장운영규칙 개정안에 따르면 20MW 이상 태양광·풍력 발전사업자, 또는 1MW 이하 설비를 20MW 이상 모은 집합전력자원 운영자가 하루 전 발전량 예측을 제출하고(참여 조건: 1개월 평균 오차율 10% 이하 등록시험), 예측오차율 8% 이하일 때 3~4원/kWh를 정산받는다. 기사상 시행 목표는 2021년 상반기였다.</t>
  </si>
  <si>
    <t>기사 날짜는 2020.9.19다. '2021년 10월 시행'은 이 출처에 없어 별도 출처가 필요하다. 이후 제도 개편 여부도 보고서 작성 시점 기준으로 다시 확인해야 한다.</t>
  </si>
  <si>
    <t>https://www.industrynews.co.kr/news/articleView.html?idxno=39594</t>
  </si>
  <si>
    <t>(사례) Liu 외(IEEE TSTE 2024), 산업체 2곳 인버터 데이터: 인버터 약 200대, 약 85대가 1회 이상 고장·교체 103건, ESCNN 정확도 94% 이상·F1 약 92%(CNN-GAP 88%), 단일 비공개 데이터셋</t>
  </si>
  <si>
    <t>Liu 외(IEEE TSTE 2024): 산업체 2곳의 주거·상업용 인버터 700여 대(440개 사이트, 전체 중 약 85대 고장·교체 103건) 가운데 약 200대로 검증, ESCNN 5겹 교차검증 정확도 94% 이상·F1 약 92%(CNN-GAP 88%).</t>
  </si>
  <si>
    <t>핵심주장과 같은 문제다. 85대는 전체 700여 대 기준이다.</t>
  </si>
  <si>
    <t>(사례) SunEdison(Golnas, IEEE PVSC 2012): 450개 시스템·티켓 3,600건, 미발전 에너지 총생산의 약 1%, 에너지 손실의 50%가 사건의 5%에서 발생, 인버터가 빈도·손실 최대, 손실의 75%가 인버터·AC·외부 계통 등 핵심 노드</t>
  </si>
  <si>
    <t>SunEdison(Golnas·Voss 발표 자료, 게재처 미확인): 450개 시스템·27개월·티켓 3,600건, 미발전 에너지 총생산의 약 1%, 에너지 손실의 50%가 사건의 5%, 인버터가 빈도·손실 최대, 손실의 75%가 인버터·AC·외부 핵심 노드.</t>
  </si>
  <si>
    <t>수치는 모두 슬라이드에서 확인했다. 'IEEE PVSC 2012'는 파일에 없고, ai_cases는 같은 자료를 'IEEE J. Photovoltaics 2013'으로 적어 그룹 간에 서로 다르다.</t>
  </si>
  <si>
    <t>산업 설비 운영·정비 에이전트 벤치마크 AssetOpsBench에서 GPT-4.1의 과제 완료율은 65%였고, 85점 배포 준비 기준을 넘은 모델은 없었으며, 실패 궤적의 23.8%가 과제 완료를 과장한 사례였다.</t>
  </si>
  <si>
    <t>산업 설비 운영·정비 에이전트 벤치마크 AssetOpsBench에서 GPT-4.1의 과제 완료율은 65%(Agent-as-Tool)로 완료율 70%를 넘은 모델이 없었고, 자동 발견된 신규 실패 유형 중 '과제 완료 과장'이 122건(23.8%)이었다.</t>
  </si>
  <si>
    <t>arXiv v1~v4 PDF를 모두 검색했지만 '85점 배포 준비 기준'은 없다. 65%, 23.8%, Plan-Execute 최고 46%는 확인했다.</t>
  </si>
  <si>
    <t>https://arxiv.org/abs/2506.03828</t>
  </si>
  <si>
    <t>고객지원 상담원 5,172명에게 생성형 AI 보조를 도입하자 생산성이 평균 14%, 초보·저숙련자는 34% 향상됐고 숙련자 효과는 미미했다.</t>
  </si>
  <si>
    <t>고객지원 상담원 5,172명 데이터에서 생성형 AI 보조는 시간당 해결 건수 기준 생산성을 평균 15% 높였고, 경력이 짧고 숙련도가 낮은 상담원은 속도와 품질이 모두 좋아졌으나 가장 숙련된 상담원은 속도가 소폭 늘고 품질은 소폭 떨어졌다(QJE 2025).</t>
  </si>
  <si>
    <t>판본이 섞였다. QJE 게재본 초록은 5,172명·15%이고, NBER 워킹페이퍼(w31161)는 5,179명·14%·초보 34%다. 인용 URL(QJE)에 맞추려면 15%로 고치거나 NBER 판을 인용해야 한다. QJE 페이지는 403이라 Crossref 초록으로 확인했다.</t>
  </si>
  <si>
    <t>https://api.crossref.org/works/10.1093/qje/qjae044</t>
  </si>
  <si>
    <t>한국수력원자력은 네이버클라우드 HyperCLOVA X에 원전 운전경험·절차서를 학습시켜 외부망과 분리된 사내 데이터센터 폐쇄망에 생성형 AI 플랫폼을 구축했다.</t>
  </si>
  <si>
    <t>한국수력원자력은 2024년 12월 네이버클라우드 '뉴로클라우드 포 하이퍼클로바X' 도입 계약을 맺고, 40여 년 원전 운전경험 자료와 절차서를 학습시킨 한수원 특화 생성형 AI 플랫폼을 사내 데이터센터 폐쇄망에 2025년 3월까지 구축하기로 했다.</t>
  </si>
  <si>
    <t>기사(2024.12.11)는 구축 '계획'이다. 완료 여부는 이 출처로 확인할 수 없다.</t>
  </si>
  <si>
    <t>https://www.aitimes.kr/news/articleView.html?idxno=33191</t>
  </si>
  <si>
    <t>(사례) 한국수력원자력 × 네이버클라우드·베스핀글로벌: 정량 효과 미공개(정량 근거 미확인)</t>
  </si>
  <si>
    <t>한국수력원자력 × 네이버클라우드: 2024.12 도입 계약, 2025.3 구축 목표, 정량 효과 미공개.</t>
  </si>
  <si>
    <t>인용 기사에 베스핀글로벌은 나오지 않는다.</t>
  </si>
  <si>
    <t>(사례) IBM Research: GPT-4.1 과제 완료 65%(Agent-as-Tool), 계획-실행 방식은 최고 46%로 하락. 85점 배포 준비 기준을 넘은 모델 없음. 실패 중 완료 과장 23.8%, 오류 복구 실패 31%</t>
  </si>
  <si>
    <t>IBM Research AssetOpsBench: GPT-4.1 과제 완료 65%(Agent-as-Tool), Plan-Execute 방식 최고 46%(GPT-4.1은 38%), 완료율 70% 초과 모델 없음, 신규 실패 유형 중 완료 과장 122건(23.8%), 비효과적 오류 복구 160건.</t>
  </si>
  <si>
    <t>'85점 기준'은 논문에 없다. '31%'는 논문에 적힌 비율이 아니라 160건을 같은 분모로 나눈 계산값으로 보인다.</t>
  </si>
  <si>
    <t>(사례) Midea Group 연구센터: 예비 내부 평가: 스키마 검증 쿼리 계획 성공 100% 대 검증 제거 시 0%, 라우팅 정확도 70% 대 제거 시 20%, 진단 품질 4.80 대 멀티에이전트 제거 시 3.60</t>
  </si>
  <si>
    <t>Midea Group 예비 내부 평가(BESS O&amp;M 보조): 라우팅 행동 정확도 70% 대 라우팅 제거 시 20%, 진단 품질 4.80 대 멀티에이전트 제거 시 3.60. 스키마 검증 쿼리 계획의 'SQL 실행 가능 성공률' 100% 대 0%는 검증을 통과한 계획만 성공으로 세는 정의에서 나온 값이다.</t>
  </si>
  <si>
    <t>수치는 맞다. 다만 표에 'Only validated query plans are counted'라고 적혀 있어 0%는 정의상 결과이지 성능 비교가 아니다. 사이트 규모·라벨 방식은 공개 전이다.</t>
  </si>
  <si>
    <t>https://arxiv.org/abs/2607.01992</t>
  </si>
  <si>
    <t>(사례) IET Renewable Power Generation 게재 연구(Malyi 외): 부품·이슈 분류 F1 0.89 대 해석적 정비유형 0.77(gpt-o3). 확신도 높은 라벨 F1 0.91 대 낮은 라벨 0.50. 소형 오픈소스 모델은 과신 경향</t>
  </si>
  <si>
    <t>Malyi 외(에든버러대·Nadara, arXiv 2025): gpt-o3 Issue Category 분류 F1 0.89 대 Maintenance Type 0.77, 확신도 'High' 라벨 F1 0.91 대 'Low' 0.50, phi4 14b는 'High' 라벨 F1 0.64로 과신.</t>
  </si>
  <si>
    <t>수치는 확인했다. 'IET RPG 게재'는 arXiv v1에 없어 확인하지 못했다.</t>
  </si>
  <si>
    <t>https://arxiv.org/abs/2509.06813</t>
  </si>
  <si>
    <t>(사례) Stanford·MIT(Brynjolfsson, Li, Raymond), QJE 2025: 평균 생산성 14% 향상, 초보·저숙련자 34% 향상</t>
  </si>
  <si>
    <t>Brynjolfsson·Li·Raymond, QJE 2025: 상담원 5,172명, 평균 생산성 15% 향상, 저숙련·저경력자는 속도·품질 모두 개선(워킹페이퍼판은 14%·34%).</t>
  </si>
  <si>
    <t>QJE판과 NBER판 수치가 섞였다.</t>
  </si>
  <si>
    <t>(AI효과) 정답률만 보는 평가는 추측을 보상해 환각을 늘리므로 기권에 부분 점수를 주고 확신 오답을 더 감점해야 한다</t>
  </si>
  <si>
    <t>정답률만 보는 평가는 추측을 보상해 환각을 유지시키므로, 평가 지침에 신뢰 기준 t를 명시하고(정답 1점, '모름' 0점, 오답은 t/(1−t)점 감점) 불확실할 때의 기권을 불이익 주지 않게 채점을 바꿔야 한다.</t>
  </si>
  <si>
    <t>논문 제안은 기권 0점과 오답 감점이다. '기권에 부분 점수'는 정확하지 않다. GPT-4 판정자 80% 이상 일치(arXiv 2306.05685)는 확인했다.</t>
  </si>
  <si>
    <t>https://arxiv.org/abs/2509.04664</t>
  </si>
  <si>
    <t>한국동서발전은 520kW 태양광(패널 2,080장)을 드론 열화상으로 진단해 결함 패널 205장을 찾았고, 조치 후 출력을 6.6% 높였다(연 약 1.2억원 수익 효과).</t>
  </si>
  <si>
    <t>한국동서발전은 당진화력 자재창고 옥상 태양광 520kW(패널 2,080장)를 2018년 11월 드론 열화상으로 진단해 결함 패널 205장을 찾았다. 연결불량 103장 자체정비와 82장 교체로 출력을 6.6% 높였고, 연간 수익과 잔존수명을 감안해 환산한 효과는 약 1억 2,000만원이다(2019.9.16 보도).</t>
  </si>
  <si>
    <t>1.2억원은 '연' 수익이 아니라 잔존수명을 포함한 환산액이다. 기사에 AI 활용 언급이 없어 'AI 효과'로 분류하면 안 된다.</t>
  </si>
  <si>
    <t>https://www.epj.co.kr/news/articleView.html?idxno=22970</t>
  </si>
  <si>
    <t>한국전기안전공사 ESS 통합관리시스템은 PCS·배터리 운영정보 75개를 1분 단위로 받는다. 2024년 1월부터 온라인 무정전 정기검사를 도입했고, 요건은 전월 연계율 90%다.</t>
  </si>
  <si>
    <t>한국전기안전공사가 2022년 구축한 ESS 통합관리시스템은 PCS·배터리 운영정보 75개를 1분 단위로 받는다. 2024년 1월 온라인 무정전 정기검사를 전면 도입했고, 신청 요건은 이전 검사일 이후 접속률 90% 이상과 직전 1개월 접속률 90% 이상을 동시에 충족하는 것이다(2024년부터 신규 ESS는 연계 의무).</t>
  </si>
  <si>
    <t>전기신문 인터뷰(2024.2.27). 요건이 두 가지인데 하나만 적혔다.</t>
  </si>
  <si>
    <t>https://www.electimes.com/news/articleView.html?idxno=332823</t>
  </si>
  <si>
    <t>두산퓨얼셀 연료전지는 운영 중 635.8MW(1,437대)이며, 이 중 국내가 568.9MW(1,294대)다(회사 홈페이지, 기준일 미표기).</t>
  </si>
  <si>
    <t>두산퓨얼셀 PAFC 공급실적은 가동 중 635.8MW(1,437대), 이 중 국내 568.9MW(1,294대)이며 설치 중 192.7MW(391대)가 따로 있다(회사 홈페이지, 기준일 미표기).</t>
  </si>
  <si>
    <t>수치는 맞다. 다만 PAFC 기준이라 전체 연료전지(SOFC 등)로 읽히지 않게 해야 한다.</t>
  </si>
  <si>
    <t>https://www.doosanfuelcell.com/kr/intro/intr-0401/</t>
  </si>
  <si>
    <t>(사례) Raptor Maps: 설비 이상 전력손실 3.13%→4.47%(전년 대비), 연 46억 달러 매출 손실(2024년판). 2024년 MWdc당 연 5,720달러 손실, 5년간 설비 기인 저성과 214% 증가, 인버터·스트링 고장이 DC 손실의 주원인(2025년판). 서비스사 고객 표본이라 편향 가능.</t>
  </si>
  <si>
    <t>Raptor Maps: 2024년판(125GW)에서 설비 이상 전력손실 3.13%→4.47%, 연 46억 달러 손실. 2025년판(193GWdc)에서 2024년 MWdc당 연 약 5,720달러 손실, 100~200MWdc급 대형 사이트는 2020년 이후 손실이 5배 이상 증가, 인버터·스트링 고장이 DC 손실의 주원인. 서비스사 고객 표본이라 편향 가능.</t>
  </si>
  <si>
    <t>'5년간 214% 증가'는 인용 URL에 없다. 기사에는 대형 사이트 5배 이상 증가만 있다.</t>
  </si>
  <si>
    <t>https://solarquarter.com/2026/02/17/benchmarking-dc-health-protecting-revenue-in-expanding-solar-fleets/</t>
  </si>
  <si>
    <t>(사례) Fluence: 연간 수익성 3~10% 향상 가능, 한 사고에서 80만 달러 이상 절감 사례(자사 주장, 조건 미공개).</t>
  </si>
  <si>
    <t>Fluence Nispera(자사 페이지): 고객이 연 3~10% 수익성 향상을 얻을 수 있다고 주장. '한 사고에서 80만 달러 이상 절감'은 제목 표현이며, 본문은 예지 경보가 사전 대응을 '가능하게 했을 수 있다(could have enabled)'는 가정형이다.</t>
  </si>
  <si>
    <t>실현 성과가 아니라 가능성·가정형 서술이다.</t>
  </si>
  <si>
    <t>https://fluenceenergy.com/nispera/</t>
  </si>
  <si>
    <t>(사례) SunEdison (Golnas &amp; Voss, IEEE J. Photovoltaics 2013 관련 발표): 인버터가 이슈 빈도와 에너지 손실 모두 1위. 에너지 손실의 75%가 인버터·AC·외부(계통) 핵심 노드에서 발생, 50%는 전체 사건의 5%에서 발생, 33%는 외부 요인.</t>
  </si>
  <si>
    <t>SunEdison(Golnas·Voss 발표 자료, 게재처 미확인, 450개 시스템·티켓 3,600건): 인버터가 이슈 빈도·에너지 손실 1위, 손실 75%가 인버터·AC·외부 핵심 노드, 50%가 사건 5%에서 발생, 33%가 외부 요인.</t>
  </si>
  <si>
    <t>수치는 확인했다. 게재처(IEEE JPV 2013)는 파일에 없고 ai_methods(PVSC 2012)와도 다르다.</t>
  </si>
  <si>
    <t>(사례) Bloom Energy (국내: 블룸SK퓨얼셀): 하루 10억 개 실시간 데이터포인트(1GW 설치 기준). 고장 예측 정확도·절감액은 미공개. 국내 기사에서는 전 세계 600여 사이트에서 보증미달 배상 0건이라는 회사 주장이 소개됨.</t>
  </si>
  <si>
    <t>Bloom Energy: 설치용량 1GW에서 하루 10억 개 실시간 성능 데이터포인트(C3 AI 협업 발표, 2024.5.14), 서버당 500개 이상 파라미터 실시간 감시(10-K). 고장 예측 정확도·절감액은 미공개.</t>
  </si>
  <si>
    <t>10억 데이터포인트는 인용된 10-K가 아니라 C3 AI 보도자료에 있다. '600여 사이트 배상 0건'은 출처 URL이 없어 확인하지 못했다.</t>
  </si>
  <si>
    <t>https://c3.ai/c3-ai-and-bloom-energy-team-up-to-revolutionize-fuel-cell-performance-service-and-engineering-analytics/</t>
  </si>
  <si>
    <t>(사례) thyssenkrupp nucera: 셀랙의 점진적 성능 편차를 출력 급감 전 탐지한 사례를 소개(정량 미공개). 설치 누적 10GW 이상(염소-알칼리 포함 전체 기준).</t>
  </si>
  <si>
    <t>thyssenkrupp nucera: 고객 사이트에서 nucera evaluator로 셀랙의 점진적 성능 편차를 출력 급감 전에 탐지한 사례를 소개(정량 미공개).</t>
  </si>
  <si>
    <t>'10GW 이상' 설치 실적은 이 블로그에 없다.</t>
  </si>
  <si>
    <t>https://www.thyssenkrupp-nucera.com/newsroom/blog/how-thyssenkrupp-nucera-is-advancing-the-green-hydrogen-economy-through-digital-service-excellence</t>
  </si>
  <si>
    <t>(사례) 한국동서발전: 결함 205장 발견(연결불량 103장 정비로 손실 5% 해소, 82장 교체로 1.6% 해소), 출력 6.6% 상승, 연 약 1.2억원 수익 효과. 41MW 전체 적용 시 0.7MW 추가 효과 추정(보도일 미확인).</t>
  </si>
  <si>
    <t>한국동서발전(2019.9.16 보도): 결함 205장 발견. 출력손실 5%를 일으킨 연결불량 103장은 자체정비로 해결했고, 손실 1.6%를 일으킨 나머지 102장 중 운영환경 문제 20장을 뺀 82장을 교체해 출력 6.6% 상승. 연간 수익과 잔존수명을 감안한 환산 효과 약 1억 2,000만원. 41MW 전체 적용 시 0.7MW 증설 효과(투자비 11억원 절감) 추정.</t>
  </si>
  <si>
    <t>보도일은 2019.9.16이다. 1.2억원은 연간 수익이 아니다. AI 적용 언급은 없다.</t>
  </si>
  <si>
    <t>(사례) 제이케이코어·한국에너지기술연구원 (적용: 한국중부발전): 발전량 예측 정확도 99%, 설비 고장 탐지 95% 이상(보도, 지표 정의 미공개). 실증: 인천 아시아드 2.7MW, 천안 산단 11MW, 군산 99.9MW, 오만 500MW.</t>
  </si>
  <si>
    <t>한국중부발전·제이케이코어 공동개발 AI 태양광 고장진단 시스템(인천발전본부 도입): 이상 감지 정확도 95% 이상, 발전량 예측 정확도 99% 수준(한국경제 2026.2.19, 지표 정의 미공개). 제이케이코어 시스템은 인천아시아드 2.7MW, 천안 산단 11MW, 군산 99.9MW, 오만 500MW에서 실증했고 조달청 혁신제품으로 지정됐다(솔라투데이 2026.1.16).</t>
  </si>
  <si>
    <t>인용 URL(솔라투데이)에는 99%·95%가 없고 한국경제 기사에 있다. 한국에너지기술연구원의 참여는 두 기사에서 확인하지 못했다.</t>
  </si>
  <si>
    <t>https://www.hankyung.com/article/2026021905431</t>
  </si>
  <si>
    <t>(사례) 한국전기안전공사(KESCO): 2022년 시스템 구축, 2024년 1월 온라인 무정전 정기검사 전면 도입, 전월 연계율 90% 요건. 비용 절감액은 미공개.</t>
  </si>
  <si>
    <t>한국전기안전공사: 2022년 시스템 구축, 2024년 1월 온라인 무정전 정기검사 전면 도입, 신청 요건은 이전 검사일 이후 접속률 90% 이상과 직전 1개월 접속률 90% 이상 동시 충족. 비용 절감액은 미공개.</t>
  </si>
  <si>
    <t>요건 일부가 빠졌다. AI가 아니라 데이터 연계 기반 검사 체계다.</t>
  </si>
  <si>
    <t>(사례) 한국에너지공단: 2019년 6월 관리센터 개소 당시 약 1만 개소 연동, 2020년 6월 2.1만 개소 이상, 설비 제조사 26곳·모니터링 장치 17곳 인증. 예측 서비스는 향후 계획 단계.</t>
  </si>
  <si>
    <t>한국에너지공단 REMS: 2020년 6월 기준 2만 1천여 개소 연동(연동률 약 92%), 설비 제조사 26곳·모니터링 장치 제조사 17곳 인증, 연간 2만여 개소 이상 증가 전망.</t>
  </si>
  <si>
    <t>'2019년 6월 개소 당시 약 1만 개소'는 이 기사에서 찾지 못했다.</t>
  </si>
  <si>
    <t>https://www.industrynews.co.kr/news/articleView.html?idxno=38798</t>
  </si>
  <si>
    <t>(사례) 아이티공간 (실증: 한국동서발전 울산, 행정안전부 지원): 목표 성능 1초 이내 위험 판단(개발 목표). 2027년부터 1MWh 이상 BESS에서 3개월 이상 실증, 2028년까지 20억원(국비 16억) 투입. 실적 수치는 없음.</t>
  </si>
  <si>
    <t>아이티공간(행정안전부 2026 지역 맞춤형 재난안전 기술개발 공모 선정): 2028년까지 20억원(국비 16억·시비 4억) 투입, 2027년부터 강제 열폭주 시험을 거쳐 동서발전 울산발전본부의 1MWh 이상 BESS에서 3개월 이상 실증. 실적 수치 없음.</t>
  </si>
  <si>
    <t>에너지데일리 2026.7.14. '1초 이내 위험 판단' 목표는 기사에서 찾지 못했다.</t>
  </si>
  <si>
    <t>https://www.energydaily.co.kr/news/articleView.html?idxno=201416</t>
  </si>
  <si>
    <t>(사례) 제주특별자치도·한국가스공사 등: 2024년 9월부터 하루 약 200kg 생산(버스 17대 등). 1MW PEM 시간당 18kg. 제주 출력제어 2015년 3회→2023년 181회. 12.5MW 실증은 가동률 60% 기준 연 1,176톤 목표. 생산단가 kg당 2만원 이상(보도).</t>
  </si>
  <si>
    <t>제주: 출력제한 2015년 3회→2023년 181회, 12.5MW 그린수소 실증단지는 가동률 60% 기준 연 1,176톤 목표, 업계는 생산단가를 kg당 2만원 이상으로 추정(수소신문 2024.6.7). 행원 3.3MW 단지는 2024년 9월부터 하루 약 200kg 생산, 수소버스 17대 등에 공급(아주경제 2026.9.13).</t>
  </si>
  <si>
    <t>h2news 기사는 2024.6.7자라 '2024년 9월부터 200kg·17대'는 담겨 있지 않다(아주경제 출처). '1MW PEM 시간당 18kg'은 기사에서 찾지 못했다.</t>
  </si>
  <si>
    <t>https://www.h2news.kr/news/articleView.html?idxno=12504</t>
  </si>
  <si>
    <t>(AI효과) 드론 열화상 이상 자동 탐지와 손실 환산: 한국동서발전 520kW·2,080장 중 205장 결함 발견, 조치 후 출력 6.6% 상승(연 약 1.2억원).</t>
  </si>
  <si>
    <t>한국동서발전(2019): 드론 열화상 진단으로 520kW·2,080장 중 205장 결함 발견, 조치 후 출력 6.6% 상승(잔존수명 감안 환산 효과 약 1.2억원). AI 자동 탐지 적용 여부는 보도에 없음.</t>
  </si>
  <si>
    <t>AI 효과의 근거로 쓰기 어렵고, 금액은 연 단위가 아니다.</t>
  </si>
  <si>
    <t>(AI효과) 배터리 셀·모듈 안전 위험 스코어링: ACCURE 20개 이상 안전 지표 심각도 점수 / (원리) ACCURE는 LFP 특성화 SOC 보정 모델과 20개 이상의 안전 지표를 심각도 점수 모델로 묶는다</t>
  </si>
  <si>
    <t>ACCURE는 자체 안전 점수 모델로 이상 모듈을 'safety red zone'으로 분류해 전해액 누출 제조결함 모듈을 찾았다(지표 개수는 인용 사례 페이지에서 미확인).</t>
  </si>
  <si>
    <t>'20개 이상 안전 지표'는 인용한 두 사례 페이지 어디에도 없다.</t>
  </si>
  <si>
    <t>https://www.accure.net/case-studies/140-mwh-bess-europe</t>
  </si>
  <si>
    <t>검증</t>
  </si>
  <si>
    <t>NREL PV Fleet(1,700개 시스템, 7.2GW) 분석에서 전체 중앙 성능 손실률은 −0.75%/yr이고, 서늘한 기후 −0.48%/yr, 더운 기후 −0.88%/yr이다.</t>
  </si>
  <si>
    <t>NREL PV Fleet(7.2GW, 1,700개 사이트, 인버터 19,000대, 미국 시장의 6~7%) 분석에서 전체 성능 손실률(PLR)은 −0.75%/yr, 서늘한 기후 중앙값 −0.48%/yr, 더운 기후 −0.88%/yr이다.</t>
  </si>
  <si>
    <t>초록 원문과 수치 일치. 원문 단위는 '시스템'이 아니라 '사이트(1,700 sites)'. 추적식 Si·CdTe가 고정식과 비슷하다는 서술도 초록에 있음.</t>
  </si>
  <si>
    <t>오염(soiling)은 2018년 전 세계 PV 연간 발전량의 최소 3~4%를 손실시켰고, 경제적 손실은 30억~50억 유로 규모로 추정된다(2023년 4~5%, 40억~70억 유로 전망).</t>
  </si>
  <si>
    <t>오염(soiling)은 2018년 전 세계 PV 연간 발전량의 최소 3~4%를 손실시켰고 경제적 손실은 30억~50억 유로 규모로 추정되며, 2023년에는 4~5%, 40억~70억 유로로 늘 것으로 전망됐다(IEA PVPS T13-21:2022).</t>
  </si>
  <si>
    <t>요약본 PDF 본문에서 문장 그대로 확인.</t>
  </si>
  <si>
    <t>한전 분산형전원 배전계통 연계 기술기준은 단독운전 발생 후 최대 0.5초 이내 한전계통 가압 중지를 요구하고, 전압·주파수가 정상 범위에서 5분간 유지된 뒤에만 재병입을 허용한다.</t>
  </si>
  <si>
    <t>한전 분산형전원 배전계통 연계 기술기준 제17조는 단독운전 발생 후 최대 0.5초 이내 한전계통 가압 중지를 요구하고, 제13조는 전압·주파수가 정상 범위로 복원된 뒤 5분간 유지되지 않으면 재병입하지 않도록 지연기능을 요구한다.</t>
  </si>
  <si>
    <t>페이지 원문 확인. 같은 기준의 표 2.4(V&lt;50% 0.5초, 50~90% 2초, 110~120% 1초, ≥120% 0.16초), 표 2.5(f&gt;61.5Hz 0.16초), 직류 유입 0.5% 제한도 원리 서술과 일치.</t>
  </si>
  <si>
    <t>https://cyber.kepco.co.kr/ckepco/front/jsp/CY/H/C/CYHCHP00802.jsp</t>
  </si>
  <si>
    <t>2025년 9월 30일부터 500kW 이상 태양광 인버터에 HVRT·LFRT 성능 개선 통지가 시작되었고, LVRT 개선은 2023년부터 진행되었다.</t>
  </si>
  <si>
    <t>2025년 9월 30일부터 전력거래소와 한전이 500kW 이상 태양광 사업자에게 인버터 고전압(HVRT)·저주파수(LFRT) 지속운전 성능 개선사업을 우편으로 사전 안내하기 시작했고, 기설 인버터의 LVRT 개선은 2023년부터 대대적으로 진행됐다.</t>
  </si>
  <si>
    <t>이투뉴스 2025-09-30 기사와 일치(언론 보도, 산업부 원문 고시는 미확인).</t>
  </si>
  <si>
    <t>http://www.e2news.com/news/articleView.html?idxno=323702</t>
  </si>
  <si>
    <t>바르셀로나 1.2MW 현장에서 PID가 가동 4~8개월 만에 발생해 PR이 27.9~39.9% 하락했고, 스트링 Voc는 183.6V에서 134.1V로 떨어졌으며, anti-PID 박스 설치 후에도 PR은 75% 미만에 머물렀다.</t>
  </si>
  <si>
    <t>바르셀로나 1.2MW 현장에서 PID가 가동 4~8개월 만에 나타났고, PID 스트링의 PR 차이는 27.9~39.9%(정상 스트링 0.3%)였다. Voc는 정상 183.6V 대비 134.1V였고, anti-PID 박스 설치 후에도 PR은 75% 미만에 머물렀다(Scientific Reports 2022).</t>
  </si>
  <si>
    <t>원문 수치 모두 일치. Voc는 시간 경과 하락이 아니라 정상 모듈과 PID 모듈의 비교값임.</t>
  </si>
  <si>
    <t>https://pmc.ncbi.nlm.nih.gov/articles/PMC9772305/</t>
  </si>
  <si>
    <t>TOPCon 모듈 PID 시험에서 AM1.5 수준 UV를 함께 조사하면 PID 손실이 3% 미만이었지만 UV 없이 시험하면 28% 열화했다. 두께 2mm 이하 박판 유리 G/G 모듈은 설치 2년 내 후면 유리 5~10% 파손 사례가 있다.</t>
  </si>
  <si>
    <t>한 사례에서 AM1.5(1000 W/m²) 수준 UV를 함께 조사하면 TOPCon 모듈의 PID 영향이 3% 미만으로 줄었지만, UV 없이 시험하면 28% 열화했다. 두께 2mm 이하 박판 유리를 쓴 G/G 모듈은 문서화된 사례에서 설치 후 2년 안에 후면 유리의 5~10%가 파손됐다.</t>
  </si>
  <si>
    <t>요약본 본문 확인. 원문은 'in one case', 'in documented cases'로 한정하므로 일반 수치처럼 쓰면 안 됨.</t>
  </si>
  <si>
    <t>https://iea-pvps.org/wp-content/uploads/2025/02/IEA-PVPS-T13-30-2025-EX-SUMM-Degradation-and-Failure.pdf</t>
  </si>
  <si>
    <t>현장 IR 열화상은 일사 600 W/m² 초과, 구름 없음, 약풍 조건에서 촬영하는 것이 권장되고, 모듈 열 안정화에 5~15분이 걸린다. 수작업 야간 EL 점검 생산성은 하룻밤 약 0.2MWp이다.</t>
  </si>
  <si>
    <t>IEA PVPS T13-10:2018은 IR 촬영을 일사 600 W/m² 초과, 구름 없음, 약풍, 안정된 외기온 조건에서 하도록 권장하고, 모듈 열 안정화에 5~15분이 걸린다고 한다. 수작업(휴대형) 야간 EL 점검 생산성은 하룻밤 약 0.2MWp이며, 드론 EL은 최대 1MWp까지 가능하다.</t>
  </si>
  <si>
    <t>T13-10:2018 보고서 본문에서 세 수치 모두 확인.</t>
  </si>
  <si>
    <t>https://iea-pvps.org/wp-content/uploads/2020/01/Review_on_IR_and_EL_Imaging_for_PV_Field_Applications_by_Task_13.pdf</t>
  </si>
  <si>
    <t>EL 이미지 셀 1,968개로 학습한 결함 분류에서 CNN은 평균 정확도 88.42%, SVM은 82.44%를 기록했다.</t>
  </si>
  <si>
    <t>EL 이미지 셀 1,968개로 학습한 결함 분류에서 CNN(GPU 필요)은 평균 정확도 88.42%, SVM(범용 하드웨어)은 82.44%를 기록했다(Deitsch et al., Solar Energy 2019).</t>
  </si>
  <si>
    <t>arXiv v3 초록과 일치.</t>
  </si>
  <si>
    <t>자동비행 드론과 AI 분석을 적용해 태양광 점검·판독·보고 시간이 147분에서 54분으로 63.3% 줄었고, EfficientNet-B0 모델의 가중 F1은 0.927이었다(Measurement 2026 논문 보도).</t>
  </si>
  <si>
    <t>AI타임스(2026-09-04) 보도에 따르면 폴란드·스페인 연구진이 학술지 Measurement에 발표한 연구에서 자동비행 드론과 AI 분석으로 전체 점검 시간이 147분에서 54분으로 63.3% 줄었고, EfficientNet-B0의 가중 F1은 0.927이었다.</t>
  </si>
  <si>
    <t>기사 수치와 일치. 원 논문은 확인하지 않았으므로 보도 기반 수치로 표시해야 함.</t>
  </si>
  <si>
    <t>https://www.aitimes.com/news/articleView.html?idxno=214824</t>
  </si>
  <si>
    <t>Raptor Maps 2026 보고서에 따르면 설비 기인 태양광 발전 손실은 2025년 5.08%로 2021년 2.36%의 두 배 이상이며, 손실 비중은 스트링 26.89%, 접속반 21.51%, 트래커 약 14%였다.</t>
  </si>
  <si>
    <t>Raptor Maps Global Solar Report에 따르면 설비 기인 전력 손실은 2025년 5.08%로 2021년 2.36%의 두 배를 넘었고, 손실 비중은 스트링 고장 26.89%, 접속반 고장 21.51%, 트래커 약 14%, 인버터 25% 미만이었다.</t>
  </si>
  <si>
    <t>PV Tech 2026-02-26 기사와 일치. 업계(벤더) 보고서라 표본·측정방법이 공개되지 않아 신뢰도는 중간 이하.</t>
  </si>
  <si>
    <t>SunEdison 450개 시스템의 27개월간 서비스 티켓 3,600건 분석에서 인버터가 고장 빈도와 에너지 손실 모두 1위였고, 에너지 손실의 50%가 전체 사건의 5%에서 발생했다.</t>
  </si>
  <si>
    <t>SunEdison 450개 시스템의 27개월(2010.1~2012.3) 서비스 티켓 3,600건 분석에서 인버터가 이슈 빈도와 에너지 손실 비중 모두 가장 컸고, 에너지 손실의 50%가 사건의 5%(주로 장기 정지)에서 발생했다.</t>
  </si>
  <si>
    <t>발표 슬라이드 'Conclusions - I'에서 확인. 미실현 발전량이 총 발전의 약 1%라는 것도 확인됨.</t>
  </si>
  <si>
    <t>Sandia·NREL·EPRI가 800여 사이트 정비기록 5.5만 건을 ML로 분석한 결과, 가장 빈번한 인버터 하위계통은 통신, 지락, 열관리, IGBT였다.</t>
  </si>
  <si>
    <t>Sandia·EPRI·NREL 연구진이 800개 이상 사이트의 정비기록 55,000건을 머신러닝으로 분석한 결과, 가장 자주 언급된 인버터 하위계통은 통신, 지락, 열관리 시스템, IGBT였고 통신 고장은 초기 연도에 더 잦았다(Gunda et al., IEEE Access 2020).</t>
  </si>
  <si>
    <t>IEEE 페이지는 렌더링되지 않아 DOI 10.1109/ACCESS.2020.3039182 초록(OpenAlex)으로 확인. 원문 표현은 고장 빈도가 아니라 'most frequently discussed'.</t>
  </si>
  <si>
    <t>https://ieeexplore.ieee.org/document/9272625/</t>
  </si>
  <si>
    <t>한국에너지기술연구원은 I-V 곡선·어레이 정보·환경센서 데이터를 학습한 AI로 패널 오염·성능 저하를 95% 이상 정확도로 판단하는 원격 진단 기술을 개발했다.</t>
  </si>
  <si>
    <t>한국에너지기술연구원 고석환 박사팀은 10년 이상 현장시험으로 모은 고장·정상 I-V 데이터와 어레이·환경센서 정보를 학습한 AI로 95% 이상의 고장 진단 정확도를 확보한 원격 진단 기술을 개발했다(2023.9 보도).</t>
  </si>
  <si>
    <t>언론 보도 수치로, 논문 원문의 검증 조건은 미확인.</t>
  </si>
  <si>
    <t>https://www.industrynews.co.kr/news/articleView.html?idxno=51036</t>
  </si>
  <si>
    <t>2019년~2023년 7월 국내 태양광 발전설비 화재는 375건(재산피해 약 44억 원)이며 원인의 77%(292건)가 전기적 요인이었다.</t>
  </si>
  <si>
    <t>소방청 자료(노용호 의원실 공개)에 따르면 2019년~2023년 7월 국내 태양광 설비 화재는 375건, 재산피해는 약 44억 원이며, 77%(292건)가 전기적 요인이었다.</t>
  </si>
  <si>
    <t>기사와 일치. 장소별로는 단독주택 114건이 가장 많아 발전소(39건)에 한정된 통계가 아님에 주의.</t>
  </si>
  <si>
    <t>https://www.electimes.com/news/articleView.html?idxno=326670</t>
  </si>
  <si>
    <t>화웨이 스마트 IV 커브 진단은 100MW를 15분에 스캔해 14종 결함을 보고하며, 말레이시아 사례에서 9,496개 스트링 중 12.1%를 결함으로 검출했다(제조사 주장).</t>
  </si>
  <si>
    <t>화웨이(제조사 발표)에 따르면 Smart I-V Curve Diagnosis는 100MW를 약 15분에 스캔해 14종 결함 보고서를 만들고, 말레이시아에서 9,496개 스트링 중 1,149개(12.1%)를 결함으로 검출했으며, 전량 조치 시 발전량이 1.5% 이상 늘 수 있다고 주장한다.</t>
  </si>
  <si>
    <t>제조사 자료와 일치. 독립 검증이 없으므로 일반적 효과로 서술하면 안 됨.</t>
  </si>
  <si>
    <t>https://solar.huawei.com/au/news/2019/news-20190710/</t>
  </si>
  <si>
    <t>(사례) NREL: 전체 중앙 PLR −0.75%/yr, 서늘한 기후 −0.48%/yr, 더운 기후 −0.88%/yr. 추적식 Si·CdTe는 고정식과 비슷.</t>
  </si>
  <si>
    <t>NREL PV Fleet(7.2GW, 1,700개 사이트): 전체 PLR −0.75%/yr, 서늘한 기후 −0.48%/yr, 더운 기후 −0.88%/yr. 추적식 Si·CdTe는 고정식과 비슷했다.</t>
  </si>
  <si>
    <t>초록과 일치.</t>
  </si>
  <si>
    <t>(사례) Sandia·NREL·EPRI: 가장 빈번한 인버터 하위계통: 통신, 지락, 열관리, IGBT. 정확도 수치는 초록에서 미확인.</t>
  </si>
  <si>
    <t>Sandia·EPRI·NREL(Gunda et al., IEEE Access 2020): 정비기록 55,000건(800개 이상 사이트)에서 가장 자주 언급된 인버터 하위계통은 통신, 지락, 열관리, IGBT였다. 분류 정확도 수치는 초록에 없다.</t>
  </si>
  <si>
    <t>OpenAlex 초록과 저자 소속(Sandia, EPRI, NREL)으로 확인.</t>
  </si>
  <si>
    <t>(사례) 폴란드·스페인 공동연구팀(Measurement, 2026년 8월): EfficientNet-B0 정밀도 0.903, 재현율 0.907, 가중 F1 0.927(핫스팟 F1 1.0, 먼지 0.732). 전체 점검 시간 147분 → 54분(−63.3%), 판독·보고만 87분 → 19분.</t>
  </si>
  <si>
    <t>폴란드·스페인 공동연구팀(Measurement, 2026년 8월 공개, AI타임스 보도): EfficientNet-B0 정밀도 0.903, 재현율 0.907, 가중 F1 0.927(핫스팟 F1 1.0, 먼지 0.732). 전체 점검 시간 147분→54분(−63.3%), 판독·보고 87분→19분.</t>
  </si>
  <si>
    <t>보도 수치와 모두 일치. 원 논문(DOI)은 미확인.</t>
  </si>
  <si>
    <t>(사례) 한국에너지기술연구원(고석환 박사팀): 오염·성능 저하 판단 정확도 95% 이상, 일사 변화 조건에서 전압-전류 예측 98% 이상(2023.9 보도).</t>
  </si>
  <si>
    <t>한국에너지기술연구원(고석환 박사팀, 2023.9 보도): 고장 진단 정확도 95% 이상. 수시로 변하는 일사 조건에서 전압·전류 시뮬레이션 데이터를 98% 이상 정확하게 예측했다.</t>
  </si>
  <si>
    <t>98%는 현장 실측이 아니라 '시뮬레이션 데이터' 예측 정확도임을 명시해야 함.</t>
  </si>
  <si>
    <t>(사례) 화웨이(제조사 발표): 100MW 스캔 15분, 14종 결함 보고. 중국 거얼무 100MW 전 스트링 진단. 말레이시아 9,496 스트링 중 1,149개(12.1%) 결함, 전량 조치 시 발전량 1.5% 이상 증가(제조사 주장, 신뢰도 낮음).</t>
  </si>
  <si>
    <t>화웨이(제조사 발표): 100MW 스캔 약 15분, 14종 결함 보고. 칭하이 거얼무 100MW 발전소 전 스트링 15분 진단(제조사는 '100% 정확도' 주장). 말레이시아 9,496개 스트링 중 1,149개(12.1%) 결함, 전량 조치 시 발전량 1.5% 이상 증가(제조사 주장).</t>
  </si>
  <si>
    <t>제조사 페이지와 일치. 독립 검증 없음.</t>
  </si>
  <si>
    <t>(사례) FAU Erlangen-Nürnberg 등(Deitsch et al., Solar Energy 2019): CNN 평균 정확도 88.42%(GPU 필요), SVM 82.44%(범용 하드웨어 가능).</t>
  </si>
  <si>
    <t>FAU Erlangen-Nürnberg·뉘른베르크 공대·ZAE Bayern(Deitsch et al., Solar Energy 2019): 셀 1,968개로 학습해 CNN 평균 정확도 88.42%(GPU 필요), SVM 82.44%(범용 하드웨어).</t>
  </si>
  <si>
    <t>일치.</t>
  </si>
  <si>
    <t>(사례) Scientific Reports 2022(스페인 바르셀로나 1.2MW): PID 스트링 PR 27.9~39.9% 하락(정상 0.3%). Voc 183.6V → 134.1V. IR 표면온도 55~60°C vs 정상 37°C. anti-PID 박스는 온도를 9~13°C 낮췄지만 PR은 75% 미만에 머묾(조기 탐지 필요성).</t>
  </si>
  <si>
    <t>Scientific Reports 2022(바르셀로나 1.2MW): PID 스트링 PR 차이 27.9~39.9%(정상 스트링 0.3%). Voc는 정상 183.6V 대비 PID 134.1V. 표면온도는 PID 55~60°C, 정상 약 37°C. anti-PID 박스 설치 후 온도는 9~13°C 낮아졌지만 PR은 계속 75% 미만이었다.</t>
  </si>
  <si>
    <t>모든 수치가 원문과 일치.</t>
  </si>
  <si>
    <t>(AI효과) IV 커브 형상 기반 결함 진단: 한국에너지기술연구원 AI 95% 이상 정확도, 화웨이 100MW 15분·14종 결함, 말레이시아 12.1% 결함, 1.5% 이상 증가(제조사 주장).</t>
  </si>
  <si>
    <t>한국에너지기술연구원: I-V 곡선·어레이·환경센서 기반 AI로 고장 진단 정확도 95% 이상(2023 보도). 화웨이(제조사 주장): 100MW 15분 스캔·14종 결함, 말레이시아 9,496개 스트링 중 12.1% 결함, 전량 조치 시 발전량 1.5% 이상 증가.</t>
  </si>
  <si>
    <t>두 출처 모두 보도·제조사 자료. 효과 수치는 일반화하면 안 됨.</t>
  </si>
  <si>
    <t>(AI효과) 드론 IR·가시광 결함 검출: 147분→54분(−63.3%), EfficientNet-B0 가중 F1 0.927. Raptor Maps 연 5회 점검 약 3% vs 연 1회 약 7%(상관관계).</t>
  </si>
  <si>
    <t>Measurement 2026 연구(AI타임스 보도): 점검·판독·보고 147분→54분(−63.3%), EfficientNet-B0 가중 F1 0.927. Raptor Maps: 연 1회 점검 사이트 평균 손실 약 7%, 연 5회 약 3%(상관관계이며 인과 아님).</t>
  </si>
  <si>
    <t>두 출처 수치와 일치.</t>
  </si>
  <si>
    <t>(AI효과) EL 이미지 셀 결함 분류: Deitsch et al.: 1,968개 셀로 CNN 88.42%, SVM 82.44%.</t>
  </si>
  <si>
    <t>Deitsch et al.(Solar Energy 2019): 셀 1,968개 EL 이미지로 CNN 평균 정확도 88.42%(GPU), SVM 82.44%(범용 하드웨어).</t>
  </si>
  <si>
    <t>EPRI 분석에 따르면 전 세계 계통용 BESS 고장률은 2018년 GW당 약 9.2건에서 2023년 약 0.2건으로 97% 감소했다.</t>
  </si>
  <si>
    <t>EPRI·PNNL·TWAICE 공동 분석에 따르면 전 세계 계통용 BESS 고장률은 2018년 설치 GW당 9.2건에서 2023년 약 0.2건으로 97% 감소했다.</t>
  </si>
  <si>
    <t>Energy-Storage.News 2024-05-16 기사와 EPRI 백서 서문(97%)에서 확인.</t>
  </si>
  <si>
    <t>https://www.energy-storage.news/battery-storage-failure-incident-rate-dropped-97-between-2018-and-2023/</t>
  </si>
  <si>
    <t>EPRI DB 81건 중 원인 분류 가능한 26건에서 셀/모듈 직접 원인은 3건(11%)뿐이었고, 연령이 알려진 고장의 72%가 시공·시운전·운전 2년 이내에 발생했다.</t>
  </si>
  <si>
    <t>EPRI BESS 고장 DB 81건 중 원인 분류가 가능한 26건에서 셀에 직접 기인한 사고는 3건(11%)뿐이었고, 연령이 알려진 고장의 72%가 시공·시운전 중이거나 운전 2년 이내에 발생했다.</t>
  </si>
  <si>
    <t>EPRI 2024 백서 본문에서 확인. 원문은 'attributed directly to the cells'. 제어 분류 사고 중 다수가 SOC 제한 등 운영 문제와 관련됐다는 단서도 있음.</t>
  </si>
  <si>
    <t>https://www.powermag.com/wp-content/uploads/2024/05/bess-failure-report.pdf</t>
  </si>
  <si>
    <t>EPRI DB의 2018~2019년 사고 30건 중 27건이 한국에서 발생했으며, 한국 설치 ESS는 2013년 30개에서 2018년 947개로 급증했다.</t>
  </si>
  <si>
    <t>EPRI DB의 2018~2019년 사고 30건 중 27건이 한국에서 발생했고, 한국의 BESS 설치 수는 2013년 30개에서 2018년 947개로 급증했다.</t>
  </si>
  <si>
    <t>백서 본문과 일치.</t>
  </si>
  <si>
    <t>2019년 6월 정부 조사 결과 ESS 화재 23건 중 14건이 충전완료 후 대기 중, 6건이 충·방전 중, 3건이 설치·시공 중 발생했고 17건이 태양광·풍력 연계용이었다.</t>
  </si>
  <si>
    <t>2019년 6월 11일 발표된 정부 조사 결과, ESS 화재 23건 중 14건은 충전완료 후 대기 중, 6건은 충·방전 중, 3건은 설치·시공 중 발생했고, 17건이 태양광·풍력 연계용이었다.</t>
  </si>
  <si>
    <t>정책브리핑 원문과 일치. 원인 4가지(전기적 충격 보호 미흡, 운영환경 관리 미흡, 설치 부주의, 통합제어·보호체계 부족)도 확인.</t>
  </si>
  <si>
    <t>https://www.korea.kr/news/policyNewsView.do?newsId=156335827</t>
  </si>
  <si>
    <t>2020년 2월 2차 조사에서 화재 5건 중 4건이 배터리 이상으로 판단됐고, 대상 설비는 95% 이상 충전율로 운영돼 옥내 80%·옥외 90% 충전율 제한이 도입됐다.</t>
  </si>
  <si>
    <t>2020년 2월 6일 발표된 2차 조사에서 화재 5건 중 4건(예산·군위·평창·김해)은 배터리 이상이 95% 이상 높은 충전율과 결합해 발생한 것으로, 1건(하동)은 외부 이물질 접촉으로 판단됐다. 이후 충전율을 건물 내(옥내) 80%, 전용건물(옥외) 90%로 제한했다.</t>
  </si>
  <si>
    <t>기사와 일치. 배터리 제조사는 결론에 반발했다는 점도 함께 적는 것이 공정함.</t>
  </si>
  <si>
    <t>https://www.knpnews.com/news/articleView.html?idxno=20325</t>
  </si>
  <si>
    <t>한국전기안전공사 자료(2024.10 국감)에 따르면 2017년~2024년 6월 ESS 화재는 55건이며, 2021년 이후 25건 중 23건(92%)이 제한 충전율 이상 완충 후 미운영 상태에서 발생했다.</t>
  </si>
  <si>
    <t>한국전기안전공사 자료(허성무 의원실, 2024-10-07 보도)에 따르면 2017년~2024년 6월 ESS 화재는 55건이며, 2021년 이후 25건 중 23건(92%)이 제한 충전율 이상으로 완충한 뒤 운영하지 않는 상태에서 발생했다.</t>
  </si>
  <si>
    <t>기사와 일치. 2024년에만 충전율 위반 70곳이 적발됐다는 내용도 있음.</t>
  </si>
  <si>
    <t>https://zdnet.co.kr/view/?no=20241007084436</t>
  </si>
  <si>
    <t>2022년 5월 2일 ESS 안전강화 대책으로 신규 설비는 충전율 제한을 보증수명 용량 이하 운영으로 전환하고, 안전관리자 월 1회 점검을 의무화했다.</t>
  </si>
  <si>
    <t>2022년 5월 2일 산업부 ESS 안전강화 대책은 KEC 개정 이후 신규 설비의 충전율 고정 제한을 배터리 제조사 보증수명 용량 이내 운영으로 바꾸고(기존 설비는 기존 제한 유지), 안전관리자 월 1회 점검과 절연저항 저하 경보를 요구했다.</t>
  </si>
  <si>
    <t>법무법인 뉴스레터(2차 자료)와 일치. 기존 설비는 옥내 80%·옥외 90% 제한이 유지된다는 점을 명시해야 함.</t>
  </si>
  <si>
    <t>https://www.shinkim.com/kor/media/newsletter/1815</t>
  </si>
  <si>
    <t>PNNL 2022 평가는 캘린더 수명을 LFP 16년, NMC 13년으로, 평균 DOD 80%에서 80% 에너지 도달까지 사이클을 LFP 2,400회, NMC 1,520회(점추정)로 가정한다.</t>
  </si>
  <si>
    <t>PNNL 2022 평가는 캘린더 수명을 LFP 16년, NMC 13년으로 두고, 평균 DOD 80%에서 가용 에너지가 정격의 80% 미만이 될 때까지의 사이클을 LFP 2,400회, NMC 1,520회(LCOS 점추정)로 가정한다.</t>
  </si>
  <si>
    <t>본문 4.1.4절·표 4.3에서 확인.</t>
  </si>
  <si>
    <t>https://www.pnnl.gov/sites/default/files/media/file/ESGC%20Cost%20Performance%20Report%202022%20PNNL-33283.pdf</t>
  </si>
  <si>
    <t>PNNL 2022는 리튬이온 ESS의 DC-DC 왕복효율 89.55%, 인버터·변압기 손실을 포함한 AC-AC 왕복효율 82.59%(2021년 기준)를 적용한다.</t>
  </si>
  <si>
    <t>PNNL 2022는 리튬이온(LFP·NMC) ESS에 DC-DC 왕복효율 89.55%, 인버터 수준 AC-AC 86.00%, 변압기 포함 AC-AC 82.59%(2021년 기준, 양방향 인버터·변압기 각각 (0.98)² 가정)를 적용한다.</t>
  </si>
  <si>
    <t>표 4.4와 일치.</t>
  </si>
  <si>
    <t>Accure 2025 보고서(100개 이상 BESS, 18GWh 이상)에 따르면 LFP 시스템의 BMS SOC 추정 오차 ±15%가 흔하며 고급 분석 적용 시 ±2%로 줄일 수 있다.</t>
  </si>
  <si>
    <t>ACCURE 2025 보고서(계통용 BESS 100개 이상, 18GWh 이상)에 따르면 LFP 시스템에서 SOC 추정 오차 ±15%가 흔하며, 고급 분석을 쓰는 사업은 이를 ±2%로 줄일 수 있다(벤더 자료).</t>
  </si>
  <si>
    <t>2025-09-10 기사와 일치. 벤더 자사 솔루션 홍보 성격이 있어 일반적 효과로 서술하면 안 됨.</t>
  </si>
  <si>
    <t>https://www.renewableenergymagazine.com/storage/accure-releases-2025-energy-storage-system-health-20250910</t>
  </si>
  <si>
    <t>LFP 셀은 긴 휴지 후에도 충전·방전 OCV 곡선 사이에 5~25mV 히스테리시스가 남아 평탄구간에서 전압 기반 SOC 오차가 ±15%를 넘을 수 있다.</t>
  </si>
  <si>
    <t>ACCURE 블로그에 따르면 LFP는 휴지 후에도 충전·방전 OCV 곡선 사이에 보통 5~25mV 차이가 남고, 평탄구간에서는 작은 전압 오차가 ±15%를 넘는 SOC 오차로 이어질 수 있다.</t>
  </si>
  <si>
    <t>블로그 문장과 일치(벤더 블로그, 신뢰도 낮음).</t>
  </si>
  <si>
    <t>https://www.accure.net/blogs/battery-hysteresis-effect</t>
  </si>
  <si>
    <t>Severson 등(2019)은 LFP 셀 124개 데이터로 용량 저하 전 첫 100사이클만 사용해 수명을 시험 오차 9.1%로 예측하고, 첫 5사이클로 2그룹 분류 오차 4.9%를 달성했다.</t>
  </si>
  <si>
    <t>Severson 등(Nature Energy 2019)은 급속충전 조건의 LFP/흑연 상용 셀 124개(수명 150~2,300사이클)로 첫 100사이클 데이터만 써 수명을 시험 오차 9.1%로 예측했고, 첫 5사이클로 2그룹 분류 시험 오차 4.9%를 달성했다.</t>
  </si>
  <si>
    <t>초록과 일치. 실험실 셀 데이터임.</t>
  </si>
  <si>
    <t>https://www.nature.com/articles/s41560-019-0356-8</t>
  </si>
  <si>
    <t>Attia 등(2020)은 초기 수명예측과 베이지안 최적화로 224개 급속충전 프로토콜 중 고수명 조건을 16일 만에 찾았다(완전탐색 시 500일 이상).</t>
  </si>
  <si>
    <t>Attia 등(Nature 2020)은 초기 수명예측 모델과 베이지안 최적화로 6단계 10분 급속충전 프로토콜 224개 후보 중 고수명 조건을 16일 만에 찾았다(초기 예측 없는 완전탐색은 500일 이상).</t>
  </si>
  <si>
    <t>https://www.nature.com/articles/s41586-020-1994-5</t>
  </si>
  <si>
    <t>물리정보신경망(PINN) SOH 추정은 387개 셀·310,705샘플에서 MAPE 0.87%를 기록했다.</t>
  </si>
  <si>
    <t>물리정보신경망(PINN) SOH 추정은 4개 데이터셋(자체 NCM 55셀 포함) 387셀·310,705샘플에서 MAPE 0.87%를 기록했다(Nature Communications 2024).</t>
  </si>
  <si>
    <t>초록과 일치. 실험실 데이터셋 기준.</t>
  </si>
  <si>
    <t>https://doi.org/10.1038/s41467-024-48779-z</t>
  </si>
  <si>
    <t>NREL 수명모델에서 셀 온도를 연중 20~30°C로 유지하는 열관리를 추가하면 수명이 4.9년에서 7.0년(DOD 74%)으로, DOD를 54%로 제한하면 10년으로 늘어났다.</t>
  </si>
  <si>
    <t>NREL·SunPower 수명모델 시뮬레이션에서 계절 외기에 노출된 배터리는 정격의 70%까지 4.9년이 걸렸고, 셀 온도를 연중 20~30°C로 유지하는 열관리를 더하면 DOD 74%에서 7.0년, 같은 열관리에 DOD를 54%로 제한하면 10년으로 늘었다(Smith et al., ACC 2017).</t>
  </si>
  <si>
    <t>프리프린트 본문과 일치. 수명 종료 기준은 70% 용량, 시뮬레이션 결과임.</t>
  </si>
  <si>
    <t>https://docs.nlr.gov/docs/fy17osti/67102.pdf</t>
  </si>
  <si>
    <t>열화비용을 반영하지 않은 ESS 시장 운전(ISO-NE 5분 실시간시장 시뮬레이션)은 기대수명 1.1년·연간 약 −210만 달러였으나, 16구간 열화비용 모델 반영 시 8.0년·약 +27.6만 달러가 됐다.</t>
  </si>
  <si>
    <t>20MW/12.5MWh BES의 ISO-NE 2015년 가격 기반 5분 정산 실시간시장 시뮬레이션에서 사이클 열화비용을 반영하지 않으면 기대수명 1.1년·연간 환산이익 약 −210만 달러였고, 16구간 열화비용 모델을 반영하면 8.0년·약 +27.6만 달러였다(Xu et al.).</t>
  </si>
  <si>
    <t>arXiv 본문 표 I에서 확인. '5분 정산'은 당시 ISO-NE 도입 예정 제도를 가정한 것이며, 1구간 모델은 8.2년·+22.3만 달러.</t>
  </si>
  <si>
    <t>https://arxiv.org/abs/1707.04567</t>
  </si>
  <si>
    <t>Jin 등(2020, Joule) 실험에서 H2 가스 포집은 연기 발생보다 639초, 발화보다 769초 앞서 리튬 덴드라이트 위험을 경고했다.</t>
  </si>
  <si>
    <t>Jin 등(Joule 2020)의 LFP-흑연 배터리팩(8.8kWh) 과충전 실험에서 H2·CO·CO2·HCl·HF·SO2 중 H2가 가장 먼저 감지됐고, 연기보다 639초, 발화보다 769초 빨랐다.</t>
  </si>
  <si>
    <t>Cell 페이지는 403이지만 Semantic Scholar 초록 원문으로 확인. 과충전 실험 조건이므로 모든 고장 모드에 일반화하면 안 됨.</t>
  </si>
  <si>
    <t>https://www.cell.com/joule/fulltext/S2542-4351(20)30234-8</t>
  </si>
  <si>
    <t>오프가스(전해질 증기) 감지 장치는 열폭주 발생 2~30분 전 경고를 제공한다(제조사 주장).</t>
  </si>
  <si>
    <t>Honeywell은 Li-ion Tamer 오프가스 감지가 열폭주 사건 전에 보통 2~30분의 경고를 준다고 주장하며, 경고 시간은 남용(abuse) 조건의 심각도에 크게 좌우된다고 밝힌다(제조사 주장).</t>
  </si>
  <si>
    <t>제조사 문구와 일치. 조건에 따라 달라진다는 단서를 함께 적어야 함.</t>
  </si>
  <si>
    <t>https://buildings.honeywell.com/us/en/brands/our-brands/li-ion-tamer</t>
  </si>
  <si>
    <t>(사례) Stanford·MIT·TRI(Severson, Nature Energy 2019): 첫 100사이클(용량 중앙값 0.2% 증가 상태)로 수명 예측 시험 오차 9.1%, 첫 5사이클로 2그룹 분류 오차 4.9%.</t>
  </si>
  <si>
    <t>Stanford·MIT·Toyota Research Institute(Severson, Nature Energy 2019): 첫 100사이클(초기 대비 용량 중앙값 0.2% 증가 상태)로 수명 예측 시험 오차 9.1%, 첫 5사이클로 2그룹 분류 시험 오차 4.9%.</t>
  </si>
  <si>
    <t>(사례) Stanford·MIT·TRI(Attia, Nature 2020): 224개 후보 프로토콜에서 고수명 조건 16일 식별(완전탐색 500일 이상).</t>
  </si>
  <si>
    <t>Attia 외(Nature 2020): 224개 후보 급속충전 프로토콜에서 고수명 조건을 16일 만에 식별(초기 예측 없는 완전탐색은 500일 이상).</t>
  </si>
  <si>
    <t>(사례) Wang 외(Nature Communications 2024): 4개 데이터셋 387셀·310,705샘플에서 SOH MAPE 0.87%.</t>
  </si>
  <si>
    <t>Wang 외(Nature Communications 2024): 4개 데이터셋 387셀·310,705샘플에서 SOH MAPE 0.87%.</t>
  </si>
  <si>
    <t>(사례) 칭화대학교 등(Zhang 외, Nature Communications 2023): 347대 EV의 69만 개 이상 충전 스니펫에서 최신 모델 대비 우수, 예상 직접 고장·점검 비용 절감(초록상 절감률 수치 미기재).</t>
  </si>
  <si>
    <t>Zhang 외(Nature Communications 2023): EV 347대의 충전 스니펫 69만 개 이상에서 동적 오토인코더 기반 이상탐지가 최신 모델의 한계를 넘었고, 예상 직접 배터리 고장·점검 비용을 줄였다(초록에 절감률 수치 없음).</t>
  </si>
  <si>
    <t>초록과 일치. EV 데이터이며 ESS 적용 효과는 미확인.</t>
  </si>
  <si>
    <t>https://www.nature.com/articles/s41467-023-41226-5</t>
  </si>
  <si>
    <t>(사례) University of Oxford(Aitio·Howey, 2021): 1,027개 배터리·6.2억 행 데이터에서 수명말을 8주 전 73%, 고장 시점 82% 정확도로 예측.</t>
  </si>
  <si>
    <t>University of Oxford(Aitio·Howey, 2021): 사하라 이남 아프리카 태양광 홈시스템의 12V 20Ah 납축전지 1,027개(각 400~760일, 6.2억 행)에서 수명말을 8주 전 73%, 고장 시점 82%(균형 정확도) 정확도로 예측했다.</t>
  </si>
  <si>
    <t>본문과 일치. 리튬이온 ESS가 아니라 소형 납축전지라는 점을 반드시 적어야 함.</t>
  </si>
  <si>
    <t>https://arxiv.org/abs/2107.13856</t>
  </si>
  <si>
    <t>(사례) ACCURE Battery Intelligence: 18GWh+ 분석, 하드웨어 부품 19%가 운영 문제 유발, SAT 정격용량 충족 83%, LFP SOC 오차 ±15% 흔함 → 고급 분석 시 ±2%, 상위 사업 RTE 88% 초과, 저품질 데이터 수집 시스템 20%(벤더 자료).</t>
  </si>
  <si>
    <t>ACCURE 2025 보고서(BESS 100개 이상, 18GWh 이상): BESS 하드웨어 부품의 19%가 운영 문제 유발, SAT에서 정격용량을 충족·초과한 사업 83%, LFP SOC 오차 ±15% 흔함(고급 분석 시 ±2%), 최상위 시스템 RTE 88% 초과, 시스템의 20%는 저품질 데이터만 수집(벤더 자료).</t>
  </si>
  <si>
    <t>기사와 일치.</t>
  </si>
  <si>
    <t>(사례) EPRI(TWAICE·PNNL 공동 분류): 2018~2023년 고장률 97% 감소(GW당 약 9.2→0.2건), 셀/모듈 직접 원인 11%(3건), 연령 알려진 고장의 72%가 시공·시운전·운전 2년 이내, 2018~2019년 30건 중 27건이 한국.</t>
  </si>
  <si>
    <t>EPRI(TWAICE·PNNL 전문가 공동 분류): 2018~2023년 계통용 BESS 고장률 97% 감소(GW당 9.2→약 0.2건), 셀 직접 원인 3건(분류된 26건의 11%), 연령이 알려진 고장의 72%가 시공·시운전 또는 운전 2년 이내, 2018~2019년 30건 중 27건이 한국.</t>
  </si>
  <si>
    <t>백서와 일치.</t>
  </si>
  <si>
    <t>(사례) Jin 외(Joule 2020): H2 포집이 연기 발생보다 639초, 발화보다 769초 앞섬(실험 조건 기준, 2차 인용 확인 수준).</t>
  </si>
  <si>
    <t>Jin 외(Joule 2020): 8.8kWh LFP-흑연 배터리팩 과충전 실험에서 H2 감지가 연기보다 639초, 발화보다 769초 앞섬.</t>
  </si>
  <si>
    <t>초록 원문으로 1차 확인했으므로 '2차 인용 확인 수준' 표현은 빼도 됨.</t>
  </si>
  <si>
    <t>(사례) NREL·SunPower(Smith 외, 2017 ACC): 계절 외기 노출 시 수명 4.9년(70% 기준) → 셀 20~30°C 열관리 추가 시 7.0년(DOD 74%) → DOD 54% 제한 병행 시 10년.</t>
  </si>
  <si>
    <t>NREL·SunPower(Smith 외, 2017 ACC): 계절 외기 노출 시 70% 용량까지 4.9년 → 셀 20~30°C 열관리 추가 시 7.0년(DOD 74%) → 같은 열관리에 DOD 54% 제한 시 10년(시뮬레이션).</t>
  </si>
  <si>
    <t>본문과 일치.</t>
  </si>
  <si>
    <t>(사례) University of Washington·ISO New England(Xu 외, IEEE Trans. Power Systems 2018): 5분 실시간시장 열화비용 미반영 시 기대수명 1.1년·연간 이익 약 −210만 달러, 16구간 반영 시 8.0년·약 +27.6만 달러(시뮬레이션).</t>
  </si>
  <si>
    <t>University of Washington·ISO New England(Xu 외): 20MW/12.5MWh BES, ISO-NE 2015년 가격, 5분 정산 실시간시장 시뮬레이션에서 열화비용 미반영 시 기대수명 1.1년·연간 환산이익 −210.1만 달러, 16구간 반영 시 8.0년·+27.63만 달러.</t>
  </si>
  <si>
    <t>표 I과 일치.</t>
  </si>
  <si>
    <t>(사례) Neoen·Tesla, Aurecon 분석: 2019년 NEM 비상 FCAS 비용 약 8,000만, 조정 FCAS 약 3,600만 호주달러 등 총 약 1억 1,600만 호주달러 절감(모델링).</t>
  </si>
  <si>
    <t>Aurecon 분석(Hornsdale Power Reserve, 100MW/129MWh): 2019년 HPR이 NEM 비상 FCAS 비용을 약 8,000만, 조정 FCAS 비용을 약 3,600만 호주달러 줄여 총 약 1억 1,600만 호주달러를 절감한 것으로 모델링됐다.</t>
  </si>
  <si>
    <t>보고서 요약과 일치. HPR을 입찰 스택에서 뺀 가상 시나리오와 비교한 모델링 결과.</t>
  </si>
  <si>
    <t>https://www.aurecongroup.com/-/media/files/downloads-library/thought-leadership/aurecon-hornsdale-power-reserve-impact-study-2020.pdf</t>
  </si>
  <si>
    <t>(사례) 한국전력공사: 연간 약 620억원 전력구입비 절감 예상(2017년 보도 기준, 실적치 미확인).</t>
  </si>
  <si>
    <t>한국전력공사: 13개소 376MW 주파수조정용 ESS 준공 후 매년 약 620억원의 전력구입비 절감을 예상(에너지데일리 2017-11-07 보도, 실적치 미확인).</t>
  </si>
  <si>
    <t>기사와 일치. 예상치임.</t>
  </si>
  <si>
    <t>http://www.energydaily.co.kr/news/articleView.html?idxno=83896</t>
  </si>
  <si>
    <t>(사례) 산업통상자원부·ESS 화재사고 원인조사위원회: 1차 23건 중 대기 14·충방전 6·설치 3, 태양광·풍력 연계 17건. 2차 5건 중 4건 배터리 이상, 95% 이상 충전율 → 옥내 80%/옥외 90% 제한.</t>
  </si>
  <si>
    <t>1차(2019-06-11): 23건 중 충전완료 후 대기 14건·충방전 중 6건·설치 중 3건, 태양광·풍력 연계 17건. 2차(2020-02-06): 5건 중 4건은 배터리 이상과 95% 이상 고충전율 결합, 1건은 외부 이물질 → 신규 설비 옥내 80%·옥외 90% 충전율 제한.</t>
  </si>
  <si>
    <t>1차는 정책브리핑, 2차는 한국원자력신문 기사로 확인.</t>
  </si>
  <si>
    <t>(AI효과) SOH·RUL 확률 예측: Severson 2019 9.1%/4.9%, Wang 2024 PINN MAPE 0.87%, Aitio·Howey 2021 1,027개 납축전지 8주 전 73%·고장 시점 82%.</t>
  </si>
  <si>
    <t>Severson 2019(LFP 124셀, 실험실): 첫 100사이클로 수명 예측 오차 9.1%, 5사이클로 2그룹 분류 오차 4.9%. Wang 2024 PINN: 387셀·310,705샘플 SOH MAPE 0.87%. Aitio·Howey 2021: 현장 태양광 연계 납축전지 1,027개에서 수명말 8주 전 73%, 고장 시점 82% 정확도.</t>
  </si>
  <si>
    <t>세 출처 모두 확인.</t>
  </si>
  <si>
    <t>(AI효과) 열폭주 전조 감지: Honeywell 2~30분(제조사), Jin 2020 H2 639초·769초, EPRI: Elkhorn(2022)에서 절연 손실 경보가 운영자에게 전달되지 않아 2일 뒤 화재로 확대.</t>
  </si>
  <si>
    <t>Honeywell Li-ion Tamer: 보통 2~30분 전 경고(제조사 주장). Jin 외 2020: 8.8kWh LFP팩 과충전에서 H2가 연기보다 639초, 발화보다 769초 앞섬. EPRI: Elkhorn(2022-09-20) 사고에서 절연 손실 경보가 운영자에게 제대로 전달되지 않았고 초기 경보 이틀 뒤 화재로 이어짐.</t>
  </si>
  <si>
    <t>EPRI 백서 Controls 사례 서술로 Elkhorn 내용 확인.</t>
  </si>
  <si>
    <t>(AI효과) 열관리 성능 잔차 모델: NREL Smith 2017 4.9→7.0년(DOD 74%), DOD 54% 시 10년. Accure 2025 상위 사업 RTE 88% 초과.</t>
  </si>
  <si>
    <t>NREL Smith 외 2017: 셀 20~30°C 열관리 추가 시 수명 4.9년→7.0년(DOD 74%), DOD 54% 제한 병행 시 10년(시뮬레이션). ACCURE 2025: 최상위 시스템 RTE 88% 초과.</t>
  </si>
  <si>
    <t>두 출처 확인. RTE 88%는 열관리 효과가 아니라 전체 성능 벤치마크임.</t>
  </si>
  <si>
    <t>(AI효과) 열화 인지 운전전략: Xu 2018 1.1년·−210만 달러 vs 8.0년·+27.6만 달러. PNNL 2022 평균 DOD 80%→60%에서 LFP 사이클 2,400→8,000(종료 기준 차이 주의).</t>
  </si>
  <si>
    <t>Xu 외(ISO-NE 2015 가격, 20MW/12.5MWh, 5분 정산 실시간시장 시뮬레이션): 열화비용 미반영 1.1년·연간 −210만 달러, 16구간 반영 8.0년·+27.6만 달러. PNNL 2022 표 4.3: 평균 DOD 80%에서 LFP 2,400회, 60%에서 8,000회(잔여 에너지가 해당 DOD 에너지와 같아지는 시점 기준).</t>
  </si>
  <si>
    <t>두 출처 확인.</t>
  </si>
  <si>
    <t>수소 저장 시스템(전해조→200 bar 압축→연료전지)의 왕복효율은 교류 기준 31~32%, 직류 기준 34%로 평가되며, 전해조 효율 72.5%, 연료전지 50.7%, 압축 전력 5 kWh/kg이 전제다. 같은 보고서의 리튬이온 교류 왕복효율은 82.59%(2021)다.</t>
  </si>
  <si>
    <t>PNNL 2022는 수소 저장 시스템 왕복효율을 직류 34%, 인버터 수준 교류 32%, 변압기 포함 교류 31%로 평가하며, 전해조 72.5%·연료전지 50.7%·200 bar 압축 5 kWh/kg을 전제로 하고 저장 중 손실은 반영하지 않았다. 같은 보고서의 리튬이온 교류(변압기 포함) 왕복효율은 82.59%(2021)다.</t>
  </si>
  <si>
    <t>4.9.4.2절·표 4.53과 일치. '저장 손실 미반영' 조건을 빼면 벤치마크로 과대평가될 수 있음.</t>
  </si>
  <si>
    <t>전력단가는 그린수소 생산원가에 약 1.5배로 반영된다(20 USD/MWh → 약 31 USD/MWh 상당). 전해조 연 운전시간이 약 3,000~4,000시간이면 투자비 기여를 가장 크게 낮출 수 있다.</t>
  </si>
  <si>
    <t>IRENA 2020에 따르면 현재 공정 효율에서 전력비용은 최종 수소 생산원가에 약 1.5배로 반영되어 20 USD/MWh가 약 31 USD/MWh(수소 kg당 1달러 약간 초과)가 되며, 연 3,000~4,000시간 운전이면 투자비 기여를 가장 크게 줄이기에 충분할 수 있다.</t>
  </si>
  <si>
    <t>보고서 본문 문장과 일치.</t>
  </si>
  <si>
    <t>https://www.irena.org/-/media/Files/IRENA/Agency/Publication/2020/Dec/IRENA_Green_hydrogen_cost_2020.pdf</t>
  </si>
  <si>
    <t>IRENA 2020(Eichman 등 2014 인용): 약 40 kW급 전해조는 설정값 변경 후 수 밀리초 내에 전력 변화를 시작해 수 초 내 안정되고, 제조사들은 1초 이내 증감을 보증한다. 알칼라인도 독일에서 1차 예비력 시험에 성공했다. 부하범위 PEM 5~120%, 알칼라인 15~100%, 냉간기동 각각 20분 미만, 50분 미만이다.</t>
  </si>
  <si>
    <t>IRENA 2020: Eichman 등(2014)에 따르면 약 40kW급 소형 전해조는 설정값 변경 후 수 밀리초 안에 전력 변화를 시작하고 수 초 안에 안정된다. 제조사들은 1초 이내 증감을 보증해 왔고(ITM Power·Siemens 인용), 알칼라인도 독일 1차 제어예비력 시험에 성공했다. 2020년 현황 표 기준 부하범위는 PEM 5~120%, 알칼라인 15~100%이고, 냉간기동은 PEM 20분 미만, 알칼라인 50분 미만이다.</t>
  </si>
  <si>
    <t>본문과 표 확인. 1초 보증은 Eichman이 아니라 제조사 자료 인용. 본문에는 'PEM 냉간기동 5분 미만' 서술도 있어 표(2020 현황 &lt;20분)와 다르므로 인용 기준을 밝혀야 함.</t>
  </si>
  <si>
    <t>알칼라인 전해조는 산소 중 수소(HTO)가 2%(폭발한계의 약 절반)에 도달하면 정지하므로 정상상태 최소부하가 보통 10~40%이며, 사례 설비는 34% 미만을 지속하면 2%를 넘었다. HTO 동특성을 반영한 스케줄링은 PV 직결 조건에서 이익을 1.627% 높였다.</t>
  </si>
  <si>
    <t>알칼라인 전해조는 산소 중 수소(HTO)가 2%(폭발한계의 약 절반)에 이르면 정지하므로 정상상태 최소부하가 보통 10~40%다. 사례 전해조 파라미터로는 부하가 34% 미만으로 계속되면 결국 2%를 넘었고, 온도·HTO 동특성을 반영한 스케줄링은 PV 직결 조건에서 기존 방식보다 이익을 1.627% 높였다(시뮬레이션, 실험 검증 모델).</t>
  </si>
  <si>
    <t>본문과 일치. 34%는 특정 파라미터의 시뮬레이션 결과임.</t>
  </si>
  <si>
    <t>https://arxiv.org/abs/2203.02991</t>
  </si>
  <si>
    <t>하이브리드 발전소 일전 디스패치에서 단순 전해조 모델을 쓰면, 운전/대기/정지 상태와 생산곡선 선형화를 반영한 상세 모델 대비 연간 이익이 1.8%, 수소 생산이 13.5% 줄어든 사례가 있다.</t>
  </si>
  <si>
    <t>풍력-전해조 하이브리드 발전소 일전 디스패치에서, 운전·정지·대기 상태와 생산곡선 선형화 구간을 반영한 상세 모델보다 단순 모델을 쓰면 연간 이익이 1.8%, 수소 생산이 13.5% 줄어든 사례가 있다(DTU, 시뮬레이션).</t>
  </si>
  <si>
    <t>초록과 일치. 원문은 부분부하 운전이 많은 조건에서 차이가 커진다고 한정함.</t>
  </si>
  <si>
    <t>https://arxiv.org/abs/2301.05310</t>
  </si>
  <si>
    <t>사이리스터(TR)와 IGBT 정류기를 섞은 최적 투자 포트폴리오는 단일 방식·기존 구성 대비 수익을 최대 13.78% 높였고 무효전력 보상 투자를 거의 없앴다. 선호 비율은 TR:IGBT 약 3:1이다.</t>
  </si>
  <si>
    <t>사이리스터(TR)와 IGBT 정류기를 혼합한 최적 구성은 TR 단독·IGBT 단독·기존 사업 구성·직관적 설계 대비 수익을 최대 13.78% 높였고, 최적 포트폴리오에서 무효전력 보상 투자가 거의 필요 없었으며 선호 비율은 TR:IGBT 3:1이었다(시뮬레이션).</t>
  </si>
  <si>
    <t>초록과 일치. '최대(at most)' 값이므로 일반적 효과로 쓰면 안 됨.</t>
  </si>
  <si>
    <t>https://arxiv.org/abs/2503.17092</t>
  </si>
  <si>
    <t>청정수소 인증 고시 제12조①: 수전해 투입 전력 데이터는 저탄소 전원이 생산한 전력량이 수소생산설비 투입 전력량과 월 단위로 일치하고, 해당 전원이 동일 전력망에 연결된 경우에만 적격하다.</t>
  </si>
  <si>
    <t>청정수소 인증제도 운영에 관한 고시(산업부고시 제2024-39호) 제12조①: 수전해 투입 전력 데이터는 저탄소 전원 생산 전력량이 수소생산설비 투입 전력량과 월 단위로 일치하고, 그 전원이 수소생산설비와 동일한 전력망에 연결된 경우에 한해 적격성을 갖춘다.</t>
  </si>
  <si>
    <t>법령정보센터 본문(admRulInfoR.do)에서 원문 확인. 2024-03-04 제정본 기준이므로 이후 개정 여부 확인 필요.</t>
  </si>
  <si>
    <t>청정수소 인증 고시에 따라 인증기관은 공정 데이터의 정밀도·완결성·대표성·일관성·재현성과 물질 수지·에너지 수지를 검토한다. 사업자는 설비확인서 최초 발급 후 6개월 이내에 현장 데이터를 제출하고, 분기별 생산 내역을 분기 종료 후 30일 이내에 신고해야 한다.</t>
  </si>
  <si>
    <t>고시 제12조②에 따라 인증운영기관·인증시험평가기관의 장은 산정 범위 내 공정 데이터의 정밀도·완결성·대표성·일관성·재현성과 물질 수지·에너지 수지를 검토한다. 제14조⑤에 따라 설비확인서를 처음 받은 자는 발급일부터 6월 이내에 검증 가능한 현장 데이터를 제출하고, 제22조에 따라 청정수소 생산·수입·판매자는 분기별 내역을 분기 종료일부터 30일 이내에 산업부장관에게 신고한다.</t>
  </si>
  <si>
    <t>조문 원문 확인. 5년마다 인증기준 부합 재검토 시에는 1년간 현장 데이터 제출(제14조⑤ 단서).</t>
  </si>
  <si>
    <t>한국 청정수소 등급 기준(2024-03-04 시행): 1등급 0.00~0.10, 2등급 0.11~1.00, 3등급 1.01~2.00, 4등급 2.01~4.00 kgCO2e/kgH2.</t>
  </si>
  <si>
    <t>한국 청정수소 등급 기준(2024-03-04 제정·시행): 1등급 0.00~0.10, 2등급 0.11~1.00, 3등급 1.01~2.00, 4등급 2.01~4.00 kgCO2eq/kgH2.</t>
  </si>
  <si>
    <t>법무법인 뉴스레터(2차 자료)와 일치.</t>
  </si>
  <si>
    <t>https://www.shinkim.com/kor/media/newsletter/2375</t>
  </si>
  <si>
    <t>2023년도 국가 전력배출계수는 0.4173 tCO2eq/MWh로 확정되어 2020~2022년 평균(0.4541)보다 8.1% 낮고, 갱신 주기는 3년에서 1년으로 단축되었다(2025-12-18 발표).</t>
  </si>
  <si>
    <t>2023년도 국가 전력배출계수는 0.4173 tCO2eq/MWh로 2020~2022년 평균 0.4541보다 8.1% 낮으며, 갱신 주기가 3년에서 1년으로 단축됐다(2025-12-18 보도).</t>
  </si>
  <si>
    <t>2차 뉴스 사이트와 일치. 보고서에는 환경부·온실가스종합정보센터 공고 원문을 인용하는 것이 좋음.</t>
  </si>
  <si>
    <t>Modbus 애플리케이션 프로토콜에서 한 번에 읽을 수 있는 레지스터는 최대 125개, PDU는 최대 253바이트이며, 주소와 데이터는 빅엔디안으로 표현한다.</t>
  </si>
  <si>
    <t>Modbus Application Protocol V1.1b3에서 Read Holding/Input Registers 한 번에 1~125개 레지스터를 읽을 수 있고, PDU는 최대 253바이트이며, 주소와 데이터 항목은 빅엔디안으로 표현한다.</t>
  </si>
  <si>
    <t>사양서 본문 확인. 빅엔디안 규정은 16비트 필드 단위이며, 32비트·실수의 레지스터(워드) 순서는 사양에 없고 장비마다 다름.</t>
  </si>
  <si>
    <t>https://www.modbus.org/file/secure/modbusprotocolspecification.pdf</t>
  </si>
  <si>
    <t>Eclipse Sparkplug 3.0은 에지 노드가 주기 발행 대신 변경 시 보고(RBE)를 쓰도록 권고한다. NDATA·NBIRTH는 MQTT QoS 0으로 발행하고, NDEATH는 MQTT Will 메시지로 등록해 비정상 단절도 구독자에게 전달한다.</t>
  </si>
  <si>
    <t>Sparkplug 3.0.0은 변경 시 보고(RBE) 방식을 권고하고(시간 기반 보고는 비권장), NBIRTH·NDATA는 MQTT QoS 0으로 발행하도록 규정한다. NDEATH는 MQTT CONNECT의 Will 메시지(QoS 1)로 등록돼 비정상 단절 때도 구독자에게 전달된다.</t>
  </si>
  <si>
    <t>사양서 본문(tck-id 조항)과 일치.</t>
  </si>
  <si>
    <t>https://sparkplug.eclipse.org/specification/version/3.0/documents/sparkplug-specification-3.0.0.pdf</t>
  </si>
  <si>
    <t>NTP는 조용한 동일 서브넷에서 1 ms 이내로 시각을 유지할 수 있고, 인터넷 경유 시 일반적 정확도는 약 5~100 ms다.</t>
  </si>
  <si>
    <t>NTP는 조용한 동일 서브넷(이더넷, 라우터 홉 적음)에서 시각을 1 ms 이내로 유지할 수 있고, 인터넷 경유 시 일반적 정확도는 약 5~100 ms로 네트워크 지연에 따라 달라진다.</t>
  </si>
  <si>
    <t>NTP FAQ 문장과 일치.</t>
  </si>
  <si>
    <t>https://www.ntp.org/ntpfaq/ntp-s-algo/</t>
  </si>
  <si>
    <t>KPX 재생에너지 발전량 예측제도는 20 MW 이상 설비, 또는 1 MW 이하 설비를 20 MW 이상 모집한 중개사업자를 대상으로 한다. 등록시험 기준은 월평균 오차율 10% 이하이며, 오차율 8% 이하일 때 3~4원/kWh를 정산한다.</t>
  </si>
  <si>
    <t>2020년 9월 발표된 재생에너지 발전량 예측제도(안)는 20MW 이상 태양광·풍력 사업자와 1MW 이하 설비를 20MW 이상 모은 집합전력자원 운영자를 대상으로 하며, 등록시험은 1개월 평균 예측오차율 10% 이하, 정산은 예측오차율 8% 이하일 때 발전량에 3~4원/kWh로 한다.</t>
  </si>
  <si>
    <t>2020년 도입 계획 단계 기사 기준. 이후 시행 규칙(오차율 구간별 단가, 당일 예측 도입 등)은 KPX 현행 규정으로 다시 확인해야 함.</t>
  </si>
  <si>
    <t>Google DeepMind는 미국 중부 700 MW 풍력에 36시간 전 출력 예측과 하루 전 시간별 공급 약속 권고를 적용해, 시간별 약속을 하지 않던 기준 대비 풍력 에너지 가치를 약 20% 높였다고 발표했다(2019).</t>
  </si>
  <si>
    <t>Google DeepMind는 미국 중부 700MW 풍력에 36시간 전 출력 예측과 하루 전 시간별 공급 약속 권고를 적용해, 시간 기반 약속을 하지 않던 경우보다 풍력 에너지 가치를 약 20% 높였다고 발표했다(2019, 기업 블로그).</t>
  </si>
  <si>
    <t>블로그 내용과 일치. 기업 자체 발표로 방법론·기준선이 공개되지 않음.</t>
  </si>
  <si>
    <t>https://deepmind.google/discover/blog/machine-learning-can-boost-the-value-of-wind-energy/</t>
  </si>
  <si>
    <t>NREL PV Fleet 분석(8.5 GW, 인버터 채널 24,000개, 1,128개 시스템)에서 시스템 가용률 중앙값은 0.99, 하위 10%(P90)는 0.95였고, 중앙 열화율은 −0.75%/년(오염 영향 제외 시 약 −0.5%/년)이었다.</t>
  </si>
  <si>
    <t>NREL PV Fleet 분석(전체 8.5GW·인버터 채널 24,000개, 성능지수·가용률 분석 대상 1,128개 시스템)에서 초기 6개월을 제외한 시스템 수준 인버터 가용률은 중앙값 0.99, P90 0.95였다. RdTools YoY 중앙 열화율은 −0.75%/년이었고, CODS로 회복 가능한 오염을 제외하면 평균 약 −0.5%/년이었다.</t>
  </si>
  <si>
    <t>보고서 요약과 일치. 가용률은 가동 초기 6개월 제외 값. docs.nrel.gov는 현재 접속 불가(docs.nlr.gov로 이전).</t>
  </si>
  <si>
    <t>https://docs.nrel.gov/docs/fy24osti/88769.pdf</t>
  </si>
  <si>
    <t>(사례) NEDO·Toshiba ESS·Tohoku Electric·Iwatani: 설계 사양 전해조 10MW급, 태양광 20MW(부지 180,000m²), 정격 수소 생산 1,200Nm³/h. 운전 성과 정량 공개자료 미확인.</t>
  </si>
  <si>
    <t>NEDO·Toshiba ESS·Tohoku Electric·Iwatani(FH2R, 후쿠시마현 나미에, 2020년 2월 완공): 10MW급 수소 제조 설비, 태양광 20MW(부지 180,000m²), 정격 운전 시 최대 1,200Nm³/h. 발표자료에 운전 효율·이용률 성과는 없음.</t>
  </si>
  <si>
    <t>NEDO 보도자료와 일치.</t>
  </si>
  <si>
    <t>https://www.nedo.go.jp/english/news/AA5en_100422.html</t>
  </si>
  <si>
    <t>(사례) 쓰촨대·칭화대(Qiu 등, arXiv 2301.12242): 22대 플랜트(풍력) 수소 +7.74%, 이익 +8.72%. 사례 평균 풍력 수소 +1.021%·이익 +1.438%, PV 수소 +0.807%·이익 +0.982%(시뮬레이션).</t>
  </si>
  <si>
    <t>쓰촨대·칭화대(Qiu 등): 풍력 직결 가정 22대(110MW) 플랜트에서 수소 +7.74%, 이익 +8.72%. 5MW급 전해조 플랜트 사례 평균은 풍력 수소 +1.021%·이익 +1.438%, PV 수소 +0.807%·이익 +0.982%(시뮬레이션).</t>
  </si>
  <si>
    <t>(사례) 쓰촨대·칭화대(Qiu 등, arXiv 2203.02991): PV 직결 조건에서 기존 스케줄링 대비 이익 +1.627%(시뮬레이션, 실험 검증 모델).</t>
  </si>
  <si>
    <t>쓰촨대·칭화대(Qiu 등, 2022): PV 직결 조건에서 기존 스케줄링 대비 이익 +1.627%(CNDQ5/3.2 알칼라인 전해조 실험으로 검증한 모델 기반 시뮬레이션).</t>
  </si>
  <si>
    <t>초록·부록과 일치.</t>
  </si>
  <si>
    <t>(사례) DTU 등(Baumhof, Raheli, Johnsen, Kazempour, arXiv 2301.05310): 한 사례에서 단순 모델은 상세 모델 대비 연간 이익 −1.8%, 수소 생산 −13.5%.</t>
  </si>
  <si>
    <t>덴마크공과대학(Baumhof 등): 한 사례에서 단순 모델은 상세 모델보다 연간 이익 −1.8%, 수소 생산 −13.5%(시뮬레이션).</t>
  </si>
  <si>
    <t>(사례) 쓰촨대·하버드대(Zeng 등, arXiv 2503.17092): 최적 구성이 수익 최대 +13.78%, 무효전력 보상 투자 거의 불필요, TR:IGBT ≈ 3:1(시뮬레이션).</t>
  </si>
  <si>
    <t>쓰촨대(저자 1인 하버드대 소속, Zeng 등): 최적 정류기 구성이 TR 단독·IGBT 단독·기존 사업 구성 대비 수익 최대 +13.78%, 무효전력 보상 투자 거의 불필요, TR:IGBT 3:1(시뮬레이션).</t>
  </si>
  <si>
    <t>초록·저자 소속과 일치.</t>
  </si>
  <si>
    <t>(사례) Google DeepMind/Google: 시간 단위 약속을 하지 않던 기준 대비 풍력 에너지 가치 약 20% 증가(기업 발표, 2019년 2월).</t>
  </si>
  <si>
    <t>Google DeepMind: 미국 중부 700MW 풍력에서 시간 기반 약속을 하지 않던 경우 대비 풍력 에너지 가치 약 20% 증가(기업 발표, 2019).</t>
  </si>
  <si>
    <t>(사례) NREL: 8.5 GW, 인버터 채널 24,000개, 1,128개 시스템. 시스템 가용률 P50 0.99, P90 0.95. 전 수명 중앙 PI 0.95. 중앙 열화율 −0.75%/년(오염 제외 약 −0.5%/년).</t>
  </si>
  <si>
    <t>NREL(FY24): 8.5GW·인버터 채널 24,000개, 분석 대상 1,128개 시스템. 초기 6개월 제외 가용률 P50 0.99, P90 0.95. 보정 후 전 수명 중앙 PI 0.95. RdTools YoY 중앙 열화율 −0.75%/년, CODS 오염 제외 시 평균 약 −0.5%/년.</t>
  </si>
  <si>
    <t>요약과 일치.</t>
  </si>
  <si>
    <t>(사례) 국내 국책 실증 과제(백종민·김수현 2024 정리): 전해 3.3 MW, 수소 저장 600 kg, 배터리 2 MWh. 운영 성과 정량 공개자료 미확인.</t>
  </si>
  <si>
    <t>제주 행원 재생에너지 연계 그린수소 생산·저장 실증(2020~2023): 알칼라인 수전해 3.3MW, 수소 저장 600kg, 배터리 2MWh(백종민·김수현, 한국수소및신에너지학회논문집 2024, 표 4). 운영 성과 정량 자료는 미확인.</t>
  </si>
  <si>
    <t>논문 표 4에서 확인. 과제 위치(제주 행원)와 수전해 방식(AWE)을 명시할 수 있음.</t>
  </si>
  <si>
    <t>https://journal.hydrogen.or.kr/xml/39686/39686.pdf</t>
  </si>
  <si>
    <t>(AI효과) 발전량 예측: KPX 예측제도 오차율 8% 이하 3~4원/kWh(2020 발표 보도). DeepMind 700MW 풍력 가치 약 20% 향상. 수전해 연계 PV 정량 효과 미확인.</t>
  </si>
  <si>
    <t>KPX 재생에너지 발전량 예측제도(2020년 9월 발표 기준): 예측오차율 8% 이하일 때 3~4원/kWh 정산. DeepMind: 미국 풍력 700MW에서 36시간 전 예측 기반 하루 전 약속으로 가치 약 20% 향상(기업 발표). 수전해 연계 PV 정량 효과는 미확인.</t>
  </si>
  <si>
    <t>두 출처 확인. KPX 현행 정산 규칙은 재확인 필요.</t>
  </si>
  <si>
    <t>(AI효과) 에너지·수소 수지 폐합과 계량 신뢰성 진단: 고시 제12조②는 정밀도·완결성·대표성·일관성·재현성과 물질·에너지 수지를 검토하도록 규정.</t>
  </si>
  <si>
    <t>청정수소 인증 고시 제12조②: 인증운영기관·인증시험평가기관의 장은 공정 데이터의 정밀도·완결성·대표성·일관성·재현성과 물질 수지·에너지 수지 등을 검토한다. 비용 절감 효과는 정량 근거 미확인.</t>
  </si>
  <si>
    <t>조문 확인.</t>
  </si>
  <si>
    <t>(AI효과) 시스템 손실 워터폴: PNNL 2022 수소 저장 교류 왕복효율 31~32%(리튬이온 82.59%).</t>
  </si>
  <si>
    <t>PNNL 2022: 수소 저장 시스템 교류 왕복효율 31%(변압기 포함)~32%(인버터 수준), 직류 34%, 저장 손실 미반영. 리튬이온 교류 왕복효율 82.59%.</t>
  </si>
  <si>
    <t>확인.</t>
  </si>
  <si>
    <t>(AI효과) 하이브리드 디지털 트윈: IEA GHR 2025 전해조가 LCOH의 55~65% 차지, IRENA 연 3,000~4,000시간.</t>
  </si>
  <si>
    <t>IEA Global Hydrogen Review 2025: 전해조가 수소 균등화 원가(LCOH)의 55~65%를 차지. IRENA 2020: 연 3,000~4,000시간 운전이면 투자비 기여를 크게 줄일 수 있음. 트윈 도입 자체의 정량 효과는 미확인.</t>
  </si>
  <si>
    <t>IEA GHR 2025 문장('electrolysers represent 55-65% of the levelised cost of hydrogen')은 로컬에 받아둔 보고서 텍스트로 확인. 출처 URL이 없어 보고서에 IEA URL을 추가해야 함.</t>
  </si>
  <si>
    <t>(AI효과) 다중 사이트 벤치마킹: NREL PV Fleet 가용률 중앙 0.99, P90 0.95, 중앙 열화율 −0.75%/년(오염 제외 약 −0.5%/년).</t>
  </si>
  <si>
    <t>NREL PV Fleet(8.5GW, 1,128개 시스템): 초기 6개월 제외 가용률 중앙 0.99, P90 0.95. 중앙 열화율 −0.75%/년(CODS 오염 제외 평균 약 −0.5%/년).</t>
  </si>
  <si>
    <t>(AI효과) EMS 운전 품질 코칭: 운전상태 모델링 수준 차이만으로 연간 수소 생산 13.5% 차이 난 시뮬레이션 사례(Baumhof 2023).</t>
  </si>
  <si>
    <t>운전·정지·대기 상태와 생산곡선 선형화 수준을 달리한 모델 차이로 연간 수소 생산이 13.5%, 이익이 1.8% 차이 난 시뮬레이션 사례가 있다(Baumhof 등 2023, 부분부하 운전이 많은 조건).</t>
  </si>
  <si>
    <t>확인. 차이에는 상태 수뿐 아니라 선형화 구간 수도 포함됨.</t>
  </si>
  <si>
    <t>(AI효과) 게이트웨이 헬스: NTP 조용한 LAN 1 ms 이내, 인터넷 약 5~100 ms.</t>
  </si>
  <si>
    <t>NTP는 조용한 동일 서브넷에서 1 ms 이내, 인터넷 경유 시 약 5~100 ms 정확도(NTP FAQ).</t>
  </si>
  <si>
    <t>(AI효과) 정비 일정 최적화: 미국 DOE FEMP O&amp;M 가이드(Release 3.0)는 예지보전이 예방보전만 할 때보다 8~12% 비용 절감한다고 제시.</t>
  </si>
  <si>
    <t>미국 DOE FEMP O&amp;M Best Practices Guide(Release 3.0): 예지보전 프로그램은 예방보전만 하는 프로그램보다 8~12% 비용을 절감할 수 있다(과거 산업 조사 기반 추정치).</t>
  </si>
  <si>
    <t>가이드 본문 텍스트(로컬 사본)에서 '8% to 12%' 문장 확인. 보고서에는 가이드 PDF의 정확한 URL을 달아야 함. 수소·태양광 사이트 적용 효과는 아님.</t>
  </si>
  <si>
    <t>https://www.energy.gov/femp</t>
  </si>
  <si>
    <t>PEM 전해조(2020): 50~80 °C, 셀압력 &lt;30 bar, 1~2 A/cm², 부하 5~120%, 냉간기동 &lt;20분, 스택수명 50,000~80,000 h, 시스템 50~83 kWh/kg</t>
  </si>
  <si>
    <t>PEM 전해조(2020 기준)는 50~80 °C, 셀압력 &lt;30 bar, 전류밀도 1~2 A/cm², 부하범위 5~120%, 냉간기동 &lt;20분, 스택수명 50,000~80,000 h, 시스템 50~83 kWh/kg이다.</t>
  </si>
  <si>
    <t>IRENA 2020 표 6(65쪽)과 모든 수치가 일치한다. 같은 표의 스택 효율은 47~66 kWh/kg이다. 표 1은 PEM 운전압력을 &lt;70 bar로 따로 적었으니 셀압력(&lt;30 bar)과 헷갈리지 않게 써야 한다.</t>
  </si>
  <si>
    <t>알칼라인(AWE, 2020): 70~90 °C, 0.2~0.8 A/cm², 부하 15~100%, 냉간기동 &lt;50분, 스택수명 60,000 h, 시스템 50~78 kWh/kg</t>
  </si>
  <si>
    <t>알칼라인(AWE) 전해조(2020 기준)는 70~90 °C, 전류밀도 0.2~0.8 A/cm², 부하범위 15~100%, 냉간기동 &lt;50분, 스택수명 60,000 h, 시스템 50~78 kWh/kg이다.</t>
  </si>
  <si>
    <t>IRENA 표 6과 일치한다. 셀압력은 &lt;30 bar, 스택 효율은 47~66 kWh/kg이다.</t>
  </si>
  <si>
    <t>SOEC 700~850 °C, 부하 30~125%, 냉간기동 &gt;600분, 수명 &lt;20,000 h, 시스템 40~50 kWh/kg; AEM 40~60 °C, 수명 &gt;5,000 h, 시스템 57~69 kWh/kg(2020)</t>
  </si>
  <si>
    <t>SOEC는 700~850 °C, 부하범위 30~125%, 냉간기동 &gt;600분, 스택수명 &lt;20,000 h, 시스템 40~50 kWh/kg이며, AEM은 40~60 °C, 스택수명 &gt;5,000 h, 시스템 57~69 kWh/kg이다(2020 기준).</t>
  </si>
  <si>
    <t>표 6과 일치한다. AEM의 부하범위(5~100%)와 냉간기동(&lt;20분)도 같은 표에 있다. IRENA는 두 기술이 덜 성숙해 제조사 간 편차가 크다고 표시했다.</t>
  </si>
  <si>
    <t>순수 제조 손실 포함 수소 1 kg당 물 18~24 kg(화학양론 9 kg)</t>
  </si>
  <si>
    <t>순수 제조 손실을 포함하면 수소 1 kg 생산에 물 18~24 kg이 필요하다(화학양론 9 kg).</t>
  </si>
  <si>
    <t>원문 문장과 일치한다. PV 연계 시 상류(패널 제조 등)까지 포함하면 22~126 kg이라는 값도 같은 곳에 있다.</t>
  </si>
  <si>
    <t>DOE PEM 스택 2022 현황 2.0 A/cm²@1.9 V, 51 kWh/kg, 4.8 µV/h(0.25%/1,000 h), 40,000 h; 2026 목표 2.3 µV/h, 80,000 h</t>
  </si>
  <si>
    <t>DOE 기준 PEM 스택 2022년 현황은 2.0 A/cm²@1.9 V/cell, 51 kWh/kg, 열화 4.8 µV/h(0.25%/1,000 h), 수명 40,000 h이며, 2026년 목표는 2.3 µV/h, 80,000 h이다.</t>
  </si>
  <si>
    <t>원문은 4.8 mV/kh로 적었고 이는 µV/h와 같은 값이다. 2026 목표는 3.0 A/cm²@1.8 V, 48 kWh/kg이고, 시스템 효율은 2022년 55 → 2026년 51 kWh/kg이다.</t>
  </si>
  <si>
    <t>https://www.energy.gov/cmei/fuels/technical-targets-proton-exchange-membrane-electrolysis</t>
  </si>
  <si>
    <t>DOE 알칼라인 스택 2022 현황 0.5 A/cm²@1.9 V, 51 kWh/kg, 3.2 µV/h, 60,000 h, 시스템 55 kWh/kg</t>
  </si>
  <si>
    <t>DOE 기준 알칼라인 스택 2022년 현황은 0.5 A/cm²@1.9 V/cell, 51 kWh/kg, 열화 3.2 µV/h(0.17%/1,000 h), 수명 60,000 h이고 시스템 효율은 55 kWh/kg이다.</t>
  </si>
  <si>
    <t>일치한다. 2026 목표는 1.0 A/cm²@1.8 V, 2.3 µV/h, 80,000 h, 시스템 52 kWh/kg이다.</t>
  </si>
  <si>
    <t>https://www.energy.gov/cmei/fuels/technical-targets-liquid-alkaline-electrolysis</t>
  </si>
  <si>
    <t>2024년 말 세계 수전해 설치 약 2 GW, 알칼라인이 신규·누적 60%, 중국이 2024 신규 50%·누적 과반</t>
  </si>
  <si>
    <t>2024년 말 세계 수전해 설치용량은 약 2 GW이며, 알칼라인이 신규·누적 용량의 60%, 중국이 2024년 신규의 50%와 누적의 과반을 차지했다.</t>
  </si>
  <si>
    <t>GHR 2025 99~100쪽과 일치한다(원문 표현은 'almost 2 GW'). 2024년 신규 설치는 약 600 MW로 2023년 700 MW보다 적고, 유럽이 신규의 25%였다.</t>
  </si>
  <si>
    <t>https://iea.blob.core.windows.net/assets/12d92ecc-e960-40f3-aff5-b2de6690ab6b/GlobalHydrogenReview2025.pdf</t>
  </si>
  <si>
    <t>KGS AH271: 산소 중 수소 &gt;2 %vol, 수소 중 산소 &gt;3 %vol, 외함 수소 &gt;1 %vol 비상정지·로크아웃</t>
  </si>
  <si>
    <t>KGS AH271(2025)은 발생 산소 중 수소 &gt;2%, 발생 수소 중 산소 &gt;3%, 외함 내 수소 &gt;1%, 압축기로 공급되는 수소 중 산소 &gt;2%일 때 비상정지하고, 이후 수동으로 로크아웃을 해제해야만 정상운전하도록 요구한다.</t>
  </si>
  <si>
    <t>AH271 2025판 3.3.1.2 (1-7)~(1-9), (1-14), (4)와 일치한다. 원문은 '%'로만 표기했다. 압축기 공급 수소 중 산소 2% 조건(2024.8 개정)도 함께 넣기를 권장한다.</t>
  </si>
  <si>
    <t>https://h2hub.or.kr/main/info/regulation_info.do?mode=download&amp;articleNo=2572&amp;attachNo=4930</t>
  </si>
  <si>
    <t>알칼라인 제조사는 턴다운을 설계부하 10~40%로 제한, Deoxo 후 O2 &lt;5 ppmv, TSA 후 H2O &lt;5 ppmv</t>
  </si>
  <si>
    <t>알칼라인 제조사는 가스 교차오염을 막기 위해 턴다운을 설계부하의 10~40%로 제한하며, 통상 Deoxo 후 산소 &lt;5 ppmv, 건조기 후 수분 &lt;5 ppmv를 목표로 한다.</t>
  </si>
  <si>
    <t>EIGA Doc 246/23 11쪽과 일치한다. 같은 문서는 PEM의 턴다운을 5~40%로, AWE 전해액을 KOH 20~40%로, 가압 AWE는 용존가스가 많아 최소 안전부하가 더 높다고 적었다.</t>
  </si>
  <si>
    <t>https://www.eiga.eu/uploads/documents/DOC246.pdf</t>
  </si>
  <si>
    <t>OCV 유휴 포함 718사이클 후 PEM HFR 약 1.6배, 1.3 V 유지 시 미발생</t>
  </si>
  <si>
    <t>OCV 유휴를 포함한 3↔0.1 A/cm² 부하 사이클 718회 후 PEM 셀의 고주파저항(HFR)이 약 1.6배(약 56→88 mΩ·cm²)로 증가했고, 유휴 시 OCV 대신 1.3 V를 유지한 500사이클 시험에서는 열화가 나타나지 않았다.</t>
  </si>
  <si>
    <t>Weiß et al., JES 2019에서 확인했다. 1.3 V 유지 시험은 500사이클이었으니 조건을 적어 두어야 한다. 실험실 단셀 결과다.</t>
  </si>
  <si>
    <t>영간격 AWE 역전류 보호 없이 40회 기동정지 후 전류 유지율 87.7%, 희생양극 보호 시 101.6%(실험실)</t>
  </si>
  <si>
    <t>영간격 알칼라인 전해조(2셀 실험실 스택)에서 역전류 보호 없이 40회(20 h) 기동·정지 후 전류 유지율은 87.7%였고, Zn 희생금속으로 보호하면 101.6%를 유지했다.</t>
  </si>
  <si>
    <t>JACS Au 2022(POSTECH·KIER)와 일치한다. 논문은 비용·안정성 측면에서 납(Pb)을 최적 희생재로 제시했다.</t>
  </si>
  <si>
    <t>https://pmc.ncbi.nlm.nih.gov/articles/PMC9709953/</t>
  </si>
  <si>
    <t>에너지파크 마인츠 6 MW PEM: 2015.9 432.5 MWh, 수소 72,526 Nm³, HHV 59.4%</t>
  </si>
  <si>
    <t>에너지파크 마인츠 PEM 설비는 2015년 9월 전체 플랜트 전력 432.5 MWh로 수소 72,526 Nm³(HHV 256.9 MWh)를 생산해 HHV 기준 59.4%의 전체 플랜트 효율을 기록했다(146 h 운전).</t>
  </si>
  <si>
    <t>발표자료 11쪽 표와 일치한다(원문 항목명 'Utilization factor(HS)'). 수소량은 트레일러 계량 기록이다. '6 MW' 규모는 추출한 텍스트에서 직접 확인하지 못했다.</t>
  </si>
  <si>
    <t>https://iea.blob.core.windows.net/assets/imports/events/140/EnergygieparkMainzoperationalandeconomicalanalysisoftheworldwidelargestpowertogasplantwithPEMelectrolysis.pdf</t>
  </si>
  <si>
    <t>3 MW·16 bar 산업 AWE 동적 모델 열 거동 98.7% 정확도, 패러데이 효율 86% 주원인 션트전류</t>
  </si>
  <si>
    <t>3 MW·16 bar 산업 알칼라인 플랜트의 동적 모델은 열 거동을 98.7% 정확도로 예측했고, 정격 정상운전 패러데이 효율 86%의 주원인은 션트전류였으며 스택 외기 열손실은 전체 전력손실의 2.6%였다.</t>
  </si>
  <si>
    <t>Sakas et al.(LUT), IJHE 2021 초록(OpenAlex)과 일치한다. 검증은 같은 규격의 산업 플랜트와 비교해 이뤄졌다.</t>
  </si>
  <si>
    <t>https://doi.org/10.1016/j.ijhydene.2021.11.126</t>
  </si>
  <si>
    <t>CNN-LSTM이 PEM 정전류 1,140 h·기동정지 660 h 전압 열화를 R² 0.98 이상 예측(실험실)</t>
  </si>
  <si>
    <t>CNN-LSTM 모델이 PEM 전해조 정전류 1,140 h·기동정지 660 h 내구 데이터의 전압 열화를 R² 0.98 이상으로 예측했다(실험실).</t>
  </si>
  <si>
    <t>Xu et al., Energy and AI 2024 초록과 일치한다. 1,000 h 후 열화는 정전류 4.5%, 기동정지 2.5%이고, 예측은 향후 수백 h 구간에 한정된다.</t>
  </si>
  <si>
    <t>https://doi.org/10.1016/j.egyai.2024.100420</t>
  </si>
  <si>
    <t>BNEF 인용 보도: 2026년 출하 약 3.5 GW 중 중국 67%, 100 MW+ 알칼라인 중국 536 $/kW, 유럽 2,385 $/kW</t>
  </si>
  <si>
    <t>BNEF 전망을 인용한 보도(월간수소경제, 2026.9.14)에 따르면 2026년 세계 전해조 출하는 약 3.5 GW로 2025년보다 줄고, 중국 업체 비중은 39%에서 67%로 늘며, 100 MW 이상 알칼라인 시스템 비용은 중국 약 536 $/kW, 유럽 약 2,385 $/kW다.</t>
  </si>
  <si>
    <t>보도문과 일치한다. BNEF 원문이 아닌 언론 인용이라 신뢰도는 중간이다. 같은 기사는 중국산 알칼라인의 명목효율이 2023년 65.9%에서 2025년 72.1%로 올랐다고 전한다.</t>
  </si>
  <si>
    <t>https://www.h2news.kr/news/articleView.html?idxno=14258</t>
  </si>
  <si>
    <t>제주 동복 12.5 MW 실증 4종, 2022.4~2026.3, 620억원, 가동률 60% 기준 연 1,176 t</t>
  </si>
  <si>
    <t>제주 동복 12.5 MW 그린수소 실증은 AEC·PEM·SOEC·AEM 4종으로 2022년 4월~2026년 3월 진행하며, 총 620억원(국비 296억·민간 324억) 규모로 가동률 60% 기준 연 1,176 t 생산을 목표로 한다.</t>
  </si>
  <si>
    <t>2022.9.29 보도와 일치한다. 계획 목표치일 뿐 운영 실적이 아니며, 사업 종료(2026.3) 후 결과는 확인하지 못했다.</t>
  </si>
  <si>
    <t>http://www.h2news.kr/news/articleView.html?idxno=10341</t>
  </si>
  <si>
    <t>(사례) 마인츠: 432.5 MWh, 72,526 Nm³, HHV 59.4%(146 h), 밸런싱 에너지 20% 감소(분석), 2차 예비력 사전자격 통과</t>
  </si>
  <si>
    <t>Stadtwerke Mainz·Linde·Siemens·RheinMain 응용과학대: 2015년 9월 전체 플랜트 432.5 MWh 투입, 수소 72,526 Nm³ 생산, HHV 효율 59.4%(146 h). 풍력 예측오차를 흡수하면 밸런싱 에너지가 '검토한 분석 틀 안에서' 20% 줄어든다고 분석했다. 2차 예비력 사전자격 시험을 통과했다.</t>
  </si>
  <si>
    <t>20%는 'in the considered framework'라는 단서가 붙은 자체 분석값이다. 실적처럼 쓰면 안 된다.</t>
  </si>
  <si>
    <t>(사례) Qi et al. IJHE 2021: 일정압력 최소부하 27.5% → OCT 10.5%, MPC 10%</t>
  </si>
  <si>
    <t>Tsinghua University 연구진(Qi et al., IJHE 2021): 시뮬레이션 사례연구에서 기존 일정압력 제어 최소부하 27.5% → 운전곡선 추종 제어 10.5%, MPC 10%.</t>
  </si>
  <si>
    <t>초록으로 확인했다. 모델 기반 사례연구라는 점을 반드시 적어야 한다.</t>
  </si>
  <si>
    <t>(사례) Qiu et al. 2023: PV 평균 수소 +0.807%·수익 +0.982%(풍력 +1.021%/+1.438%), 22대 수소 +7.74%·수익 +8.72%, 713.82초</t>
  </si>
  <si>
    <t>Qiu et al.(Renewable Energy 2023): PV 시나리오 평균 수소 +0.807%·수익 +0.982%(풍력 +1.021%/+1.438%). 풍력 직결을 가정한 22대 플랜트 시뮬레이션에서 기존 방식 대비 수소 +7.74%·수익 +8.72%, 분해 기법 계산시간 713.82초.</t>
  </si>
  <si>
    <t>수치는 일치한다. 22대 사례는 풍력 직결 가정이고 예측 오차는 반영하지 않았다. 제1저자 Qiu는 쓰촨대 소속이다(교신 Lin Jin은 칭화대).</t>
  </si>
  <si>
    <t>(사례) IJHE 2021 Sakas: 열 모델 98.7%, 패러데이 효율 86% 주원인 션트전류, 열손실 2.6%</t>
  </si>
  <si>
    <t>LUT University(Sakas et al., IJHE 2021): 동일 규격 산업 플랜트와 비교 검증한 열 모델 정확도 98.7%, 정격 정상운전 패러데이 효율 86%의 주원인은 션트전류, 스택 외기 열손실은 전체 전력손실의 2.6%.</t>
  </si>
  <si>
    <t>초록과 일치한다.</t>
  </si>
  <si>
    <t>(사례) Xu et al. 2024: R² &gt;0.98, 1,000 h 후 열화 정전류 4.5%·기동정지 2.5%</t>
  </si>
  <si>
    <t>Chongqing University 등(Xu et al., Energy and AI 2024): 두 데이터셋 모두 R² &gt;0.98, 장기 예측에서 비교 모델보다 우수. 1,000 h 후 전압 열화는 정전류 4.5%, 기동정지 2.5%(실험실).</t>
  </si>
  <si>
    <t>초록과 일치한다. 기동정지 열화가 더 작게 나온 것은 이 실험 조건의 특이값이므로 일반화하면 안 된다.</t>
  </si>
  <si>
    <t>(사례) 산업부·H2KOREA·전북TP·현대건설·테크로스·한수원: 1,000 kg/일, 99.999%, 111.3억(국비 54.3억)</t>
  </si>
  <si>
    <t>산업통상자원부·H2KOREA·전북테크노파크·현대건설·테크로스·한국수력원자력: 전북 부안 2.5 MW PEM(일생산 1,000 kg), 수소품질 99.999% 이상, 총사업비 111.3억원(국비 54.3억·지자체 30억·민간 27억), 2025년 5월 가동 계획(2023년 보도).</t>
  </si>
  <si>
    <t>보도와 일치한다. 가동 후 성과는 확인하지 못했다.</t>
  </si>
  <si>
    <t>https://www.electimes.com/news/articleView.html?idxno=320475</t>
  </si>
  <si>
    <t>NIST 식: Z 450 bar·15 °C 약 1.296(29.2 kg/m³), 700 bar 약 1.466(40.2 kg/m³), 이상기체식 30%·47% 과대평가</t>
  </si>
  <si>
    <t>NIST(Lemmon·Huber·Leachman 2008) 식으로 계산하면 수소 압축인자 Z는 450 bar·15 °C에서 약 1.296(밀도 29.2 kg/m³), 700 bar·15 °C에서 약 1.466(밀도 40.2 kg/m³)이며, 이상기체식은 재고를 각각 약 30%, 47% 과대평가한다.</t>
  </si>
  <si>
    <t>원문 표 1 계수로 다시 계산했다: Z=1.2956·29.23 kg/m³, Z=1.4662·40.17 kg/m³. 검증점(400 K·50 MPa, Z=1.24305)도 재현된다. 식의 오차는 220~1000 K·70 MPa까지 0.01% 이내다.</t>
  </si>
  <si>
    <t>https://pmc.ncbi.nlm.nih.gov/articles/PMC4652867/</t>
  </si>
  <si>
    <t>기존 리서치의 NIST Z식 계수 a7·a8·a9가 10배 크게 기재되어 450 bar에서 Z 3.44, 검증점 2.219로 틀림</t>
  </si>
  <si>
    <t>기존 리서치(research-fuelcell_storage.json)의 NIST Z식 계수 a7·a8·a9가 원문(0.9588528×10⁻⁴, −0.1109040×10⁻⁶, 0.1264403×10⁻⁹)보다 10배 크게 적혀 있어, 그대로 쓰면 450 bar·15 °C에서 Z가 1.296 대신 3.44로 나오고 NIST 검증점(400 K·50 MPa, Z=1.2430)도 2.219로 틀린다.</t>
  </si>
  <si>
    <t>research-fuelcell_storage.json 1384행이 0.0009588528, −1.10904e-6, 1.26440e-9로 적혀 있음을 확인했다. 10배 계수로 계산하면 3.443과 2.219가 나온다. 데이터 계약·코드에 넣기 전에 반드시 고쳐야 한다.</t>
  </si>
  <si>
    <t>수소 1 K 상승 시 200~700 bar·15 °C에서 압력 약 0.36%(450 bar 약 1.6 bar) 상승</t>
  </si>
  <si>
    <t>수소 질량이 일정할 때 가스온도가 1 K 오르면 200~700 bar·15 °C 부근에서 압력이 약 0.36%(450 bar에서 약 1.6 bar) 오른다(NIST 식 기반 계산값).</t>
  </si>
  <si>
    <t>직접 다시 계산했다: 200 bar 0.72 bar(0.359%), 450 bar 1.63 bar(0.362%), 700 bar 2.51 bar(0.358%).</t>
  </si>
  <si>
    <t>KGS FU671(2025): 경보농도 LEL 1/4 이하, 정밀도 ±25%, 1.6배 농도 30초 이내, 경보 유지</t>
  </si>
  <si>
    <t>KGS FU671(2025)에서 가스누출검지경보장치의 경보농도는 폭발하한계의 1/4 이하, 경보정밀도는 설정치의 ±25% 이하, 검지에서 발신까지는 경보농도 1.6배 농도에서 보통 30초 이내이며, 경보는 확인·대책을 강구할 때까지 유지된다.</t>
  </si>
  <si>
    <t>2.8.2.1.2~2.8.2.1.7과 일치한다(2025.12.9 승인판). 원문은 '보통 30초 이내'이고, 전원전압 ±10% 변동에서도 정밀도를 유지해야 한다는 조항도 있다.</t>
  </si>
  <si>
    <t>https://h2hub.or.kr/main/info/regulation_info.do?mode=download&amp;articleNo=3039&amp;attachNo=5967</t>
  </si>
  <si>
    <t>KGS FU671: 검출부 실내 바닥둘레 10 m마다 1개, 실외 체류 우려 20 m마다 1개, 천장~검지부 하단 0.3 m 이하</t>
  </si>
  <si>
    <t>KGS FU671(2025)에 따르면 검출부는 건축물 안 누출 우려 설비군 바닥면 둘레 10 m마다 1개 이상, 건축물 밖에서 인접 구조물·피트 등으로 가스가 체류할 우려가 있는 장소는 20 m마다 1개 이상 설치하고, 천장에서 검지부 하단까지 0.3 m 이하로 둔다.</t>
  </si>
  <si>
    <t>2.8.2.3.1·2.8.2.3.3과 일치한다. 천장이 매우 높으면 0.4 m 이상 포집갓을 달도록 한 규정(2.8.2.3.4)도 있다.</t>
  </si>
  <si>
    <t>KGS FU671: 수소 중 산소 2 vol% 이상 압축 금지, 수전해 제조 시 발생·정제·저장 출구 1일 1회 이상 분석</t>
  </si>
  <si>
    <t>KGS FU671(2025)은 수소 중 산소 또는 산소 중 수소가 2 vol% 이상인 가스를 압축하지 않도록 하고, 물 전기분해로 제조할 때 발생장치·정제장치·수소저장설비 출구에서 1일 1회 이상 가스를 채취해 분석하도록 한다.</t>
  </si>
  <si>
    <t>3.2.2.1·3.2.2.2와 일치한다. 산소 중 수소 2% 이상도 압축 금지 대상이다.</t>
  </si>
  <si>
    <t>KGS FU671: 축적압력 1개 110%, 2개 이상 116%, 화재 121%, 다단 각 단 과압안전장치, 저장설비 방출관 5 m 또는 정상부 2 m 중 높은 위치</t>
  </si>
  <si>
    <t>KGS FU671(2025)에서 안전밸브 축적압력은 화재가 아닌 경우 1개 설치 시 MAWP의 110%, 2개 이상 116%, 화재 시 121% 이하이며, 다단 압축기는 각 단에 과압안전장치를 둔다. 수소저장설비 방출관은 지상 5 m 이상 또는 저장설비 정상부에서 2 m 중 높은 위치에 설치한다.</t>
  </si>
  <si>
    <t>2.8.1.5, 2.8.1.1(압축기 최종단·다단은 각 단), 2.8.1.8.1과 일치한다.</t>
  </si>
  <si>
    <t>KGS FU671: 운전 중 수소설비 1일 1회 점검, 기록 검토로 열화경향 파악, 강제환기 1 m²당 0.5 m³/min</t>
  </si>
  <si>
    <t>KGS FU671(2025)은 운전 중 수소설비를 1일 1회 이상 점검하고, 점검·보수 기록을 검토해 설비 열화경향을 파악한 뒤 차기 점검·보수 계획과 설비개선에 활용하도록 한다. 자연환기가 불가능하면 강제환기를 바닥면적 1 m²당 0.5 m³/min 이상으로 한다.</t>
  </si>
  <si>
    <t>3.3.4.2, 3.3.4.4, 2.8.9.2와 일치한다. 강제환기 기준은 자연환기구 설치가 불가능할 때 적용된다.</t>
  </si>
  <si>
    <t>고압가스법 시행규칙: 안전관리규정 실시기록 5년 보존, 압축가스 50 m³ 이상 사용신고, 매 1년 전후 15일 이내 정기검사</t>
  </si>
  <si>
    <t>고압가스 안전관리법 시행규칙상 안전관리규정 실시기록은 5년간 보존하고, 저장능력 50 m³ 이상 압축가스저장설비를 갖춘 특정고압가스 사용자는 사용신고 대상이며, 사용신고자는 완성검사증명서 발급일 기준 매 1년이 되는 날의 전후 15일 이내에 정기검사를 받는다.</t>
  </si>
  <si>
    <t>제19조, 제46조제1항제2호, 제48조제2항과 일치한다. 문서는 2024.1.1 시행본이므로 이후 개정 여부는 확인이 필요하다.</t>
  </si>
  <si>
    <t>https://h2hub.or.kr/main/info/regulation_info.do?mode=download&amp;articleNo=2180&amp;attachNo=4103</t>
  </si>
  <si>
    <t>2019 강릉 수소탱크 폭발: 버퍼탱크 산소 약 6%, 정전기 점화, 정제기 미설치·접지 미연결·저출력 운전, 사망 2·부상 6</t>
  </si>
  <si>
    <t>2019년 5월 강원테크노파크(강릉) 수전해 수소탱크 폭발은 산소가 약 6% 유입된 버퍼탱크에서 정전기 불꽃이 점화원이 되었고, 정제기(산소제거기) 미설치, 접지선 미연결, 최저출력 미만 저출력 운전이 원인으로 지목되었다(사망 2명, 부상 6명, 재산피해 약 393억원).</t>
  </si>
  <si>
    <t>검찰 수사결과 보도와 일치한다(부상은 중상 1명·경상 5명). 설비는 석면 분리막이라 최저출력 범위가 50%였고, 연료전지·태양광·풍력 하이브리드 R&amp;D 과제로 설치됐다.</t>
  </si>
  <si>
    <t>https://www.sisaweek.com/news/articleView.html?idxno=141570</t>
  </si>
  <si>
    <t>2019 노르웨이 Kjørbo 수소충전소 폭발 근본원인은 고압 저장유닛 탱크의 특정 플러그 조립 오류</t>
  </si>
  <si>
    <t>2019년 6월 10일 노르웨이 Kjørbo 수소충전소 사고의 근본원인은 고압 저장유닛 수소탱크의 특정 플러그 조립 오류로 확인되었다(Gexcon 조사).</t>
  </si>
  <si>
    <t>2019.6.27 Nel 발표와 일치한다. 플러그에서 샌 수소가 공기와 혼합해 착화했으며, 당시 점화원은 계속 조사 중이었다.</t>
  </si>
  <si>
    <t>NREL: 2017년까지 정비 4,663건 중 69% 비계획, 디스펜서·압축기 67%, 씰 파손이 압축기 정지 주원인·2시간 이상, 누설검지 회로 실시간 감시로 정지 회피 가능</t>
  </si>
  <si>
    <t>NREL 분석에서 2017년까지 소매 수소충전소 정비 이벤트 4,663건 중 69%가 비계획이었고, 디스펜서와 압축기가 67%(칠러 포함 78%)를 차지했다. 씰 고장은 압축기 정지의 주원인으로 수리에 보통 여러 명이 2시간 이상 걸리며, 압축기 누설검지 회로를 실시간 감시하면 정지를 피할 수 있다고 보고했다.</t>
  </si>
  <si>
    <t>일치한다. 씰 관련 서술은 NREL의 이전 압축기 연구[36]를 인용한 것이다. '피할 수 있었다'는 실제 회피 실적이 아니라 가능성 서술이다.</t>
  </si>
  <si>
    <t>https://www.osti.gov/servlets/purl/1603259</t>
  </si>
  <si>
    <t>Linde IC90/60: IC90 2대·5단 유압, 흡입 6~201 bara, 토출 &lt;900 bar, 56 kg/h, 1~3.3 kWh/kg</t>
  </si>
  <si>
    <t>Linde IC90/60 이온 압축기 모듈은 IC90 2대·5단 유압구동으로 흡입 6~201 bara, 토출 900 bar 미만, 용량 56 kg/h, 전력소비 1~3.3 kWh/kg(압축기+열관리)이다.</t>
  </si>
  <si>
    <t>제조사 데이터시트와 일치한다. 일 충전 수요 900 kg 미만인 충전소용 모듈이다.</t>
  </si>
  <si>
    <t>https://assets.linde.com/-/media/global/engineering/engineering/home/products-and-services/plant-components/powering-sustainable-mobility-for-generations-to-come/le_lhf_datasheet_ic90_60.pdf</t>
  </si>
  <si>
    <t>DOE: 수소 액화에 에너지 함량 30% 이상, 액화온도 −253 °C 이하</t>
  </si>
  <si>
    <t>DOE에 따르면 수소 액화에는 현재 기술로 수소 에너지 함량의 30% 이상이 들고, 액화하려면 −253 °C 이하로 냉각해야 한다.</t>
  </si>
  <si>
    <t>일치한다.</t>
  </si>
  <si>
    <t>https://www.energy.gov/eere/fuelcells/liquid-hydrogen-delivery</t>
  </si>
  <si>
    <t>실험실 단단 왕복동 공기압축기 AE+SVM 밸브 결함 98% 초과(수소 실기 아님)</t>
  </si>
  <si>
    <t>실험실 단단 왕복동 공기압축기에서 음향방출(AE) 특징과 SVM으로 밸브 결함을 98%를 넘는 정확도로 자동 판정했다(수소 실기 아님).</t>
  </si>
  <si>
    <t>AEJ 2017 초록과 일치한다.</t>
  </si>
  <si>
    <t>https://doi.org/10.1016/j.aej.2016.12.010</t>
  </si>
  <si>
    <t>(사례) 강원테크노파크 강릉: 사망 2, 부상 6, 산소 약 6%, FU671 2% 압축금지·1일 1회 분석</t>
  </si>
  <si>
    <t>강원테크노파크 강릉벤처공장(수전해 실증): 사망 2명, 부상 6명, 버퍼탱크 산소 약 6% 유입. KGS FU671은 수소 중 산소 2% 이상 압축 금지와 1일 1회 가스분석을 규정한다.</t>
  </si>
  <si>
    <t>보도와 FU671 원문으로 확인했다.</t>
  </si>
  <si>
    <t>(사례) NREL: 4,663건 중 69% 비계획, 디스펜서+압축기 67%(칠러 포함 78%), 디스펜서 46%, 씰 수리 2시간 이상</t>
  </si>
  <si>
    <t>NREL: 2017년까지 정비 이벤트 4,663건 중 69% 비계획; 디스펜서+압축기 67%(칠러 포함 78%); 디스펜서 46%; 압축기 씰 고장 수리에 여러 명이 2시간 이상.</t>
  </si>
  <si>
    <t>(사례) EU JRC·유럽수소안전패널 HIAD 2.0: 2022년 706건</t>
  </si>
  <si>
    <t>EU JRC·유럽수소안전패널: HIAD 2.0 데이터베이스는 2022년 기준 706건을 수록했다. 검사·정비 효과의 정량(%)은 없다.</t>
  </si>
  <si>
    <t>초록과 일치한다. 교훈은 설계, 제작·설치·변경, 인적요인, 비상대응 4범주로 정리되어 있다.</t>
  </si>
  <si>
    <t>https://doi.org/10.1016/j.ijhydene.2022.03.170</t>
  </si>
  <si>
    <t>(사례) 한국가스기술공사 서산 수소충전소 데이터 연구(ICECCME 2021): 정량 효과 미확인</t>
  </si>
  <si>
    <t>한국가스기술공사 서산 수소충전소 SCADA 데이터로 GMM-HMM 이상상태 탐지를 시험한 연구(ICECCME 2021): 초록에 정량 성능·절감 효과는 없다.</t>
  </si>
  <si>
    <t>초록으로 확인했다. 밸브·스위치 on/off 이벤트로 운전모드를 정의한 방식이다.</t>
  </si>
  <si>
    <t>https://doi.org/10.1109/iceccme52200.2021.9590853</t>
  </si>
  <si>
    <t>(사례) AEJ 2017: 밸브 결함 판정 98% 초과(실험실)</t>
  </si>
  <si>
    <t>Alexandria Engineering Journal 2017: 단단 왕복동 공기압축기 실험실 시험에서 밸브 결함 판정 정확도 98% 초과.</t>
  </si>
  <si>
    <t>(사례) IJHE 2020: ANN 위치 예측 78.4%, K-DTW 87.5%(실험 조건)</t>
  </si>
  <si>
    <t>IJHE 2020: 헬륨을 수소 대용으로 쓴 축소 주차장 모델에서 천장 센서 12개 데이터로 누출 위치를 예측한 결과, ANN 78.4%, K-DTW 87.5%.</t>
  </si>
  <si>
    <t>초록과 일치한다. 헬륨·축소모형 조건을 반드시 적어야 한다.</t>
  </si>
  <si>
    <t>https://doi.org/10.1016/j.ijhydene.2020.09.218</t>
  </si>
  <si>
    <t>국내 발전용 연료전지 누적 2022년 879 MW → 2023년 1,036 MW(+157 MW), 세계 최초 1 GW</t>
  </si>
  <si>
    <t>국내 발전용 연료전지 누적 설치량은 2022년 879 MW에서 2023년 1,036 MW로 157 MW 늘어 세계 최초로 1 GW를 넘었다.</t>
  </si>
  <si>
    <t>2024.1.26 보도(수소연료전지산업협회·KPX 자료)와 일치한다.</t>
  </si>
  <si>
    <t>https://www.electimes.com/news/articleView.html?idxno=332044</t>
  </si>
  <si>
    <t>2025 일반수소발전 입찰(4차) 52개, 180.55 MW, 연 1,355 GWh, 경쟁률 2.4:1</t>
  </si>
  <si>
    <t>2025년 일반수소발전 경쟁입찰(4차) 낙찰은 52개 발전소, 180.55 MW, 연 1,355 GWh이며 경쟁률은 2.4:1이었다.</t>
  </si>
  <si>
    <t>2025.8.17 산업부·KPX 발표 보도와 일치한다. 개별 호기는 모두 20 MW 이하였다.</t>
  </si>
  <si>
    <t>두산퓨얼셀 일반수소 낙찰 비중 2023 62%, 2024 73%, 2025 60%; 2026 물량 약 125 MW(179 MW 대비 30.2% 감소)</t>
  </si>
  <si>
    <t>두산퓨얼셀의 일반수소 입찰 낙찰 비중은 2023년 62%, 2024년 73%, 2025년 60%였고, 2026년 일반수소 입찰물량은 행정예고 기준 약 125 MW로 기존 179 MW보다 30.2% 적다.</t>
  </si>
  <si>
    <t>보도와 일치한다. 125 MW도 6월 행정예고 기준이며, 언론 보도라 신뢰도는 중간이다.</t>
  </si>
  <si>
    <t>https://www.newspim.com/news/view/20260807000603</t>
  </si>
  <si>
    <t>입찰시장: 계약물량 초과분 SMP로만 정산, 미달 시 실제 발전량만 정산해 고정비 미회수, 계약기간 일반 20년·청정 15년, 가격 60·비가격 40</t>
  </si>
  <si>
    <t>수소발전 입찰시장은 계약물량을 넘는 발전분에 차액정산금 없이 SMP로만 정산하고, 계약물량보다 적게 발전하면 실제 발전량에만 정산금을 지급해 사업자가 고정비를 회수하지 못한다. 계약기간은 일반수소 20년, 청정수소 15년이며, 일반수소는 가격 60점·비가격 40점으로 평가한다.</t>
  </si>
  <si>
    <t>기고문 본문과 일치한다.</t>
  </si>
  <si>
    <t>https://www.keaj.kr/news/articleView.html?idxno=5673</t>
  </si>
  <si>
    <t>KPX 2023.5 설명회 일반수소 비가격: 출력증감발률 5.0%/min 이상, 최소운전출력 15% 미만, 에너지효율성 15% 이상 최고 구간</t>
  </si>
  <si>
    <t>KPX 2023년 5월 설명회 자료(일반수소발전 비가격요소 평가표 및 세부지침 '안')에서 출력증감발률 5.0%/min 이상, 최소운전출력범위 15% 미만, 에너지효율성((열+기타 에너지 공급열량)/연료투입열량) 15% 이상이 최고 구간이다.</t>
  </si>
  <si>
    <t>13·12쪽과 일치한다. 2023년 '(안)'이므로 최신 공고의 평가표로 다시 확인해야 한다.</t>
  </si>
  <si>
    <t>https://www.kpx.or.kr/boardDownload.es?bid=0042&amp;list_no=69381&amp;seq=2</t>
  </si>
  <si>
    <t>KPX 기술능력: 0 pu 150 ms, 1,350 ms 이내 회복, 0.9 pu 연속운전, 무효전력 33% 이상, 유효전력 회복 5초, 속도조정률 5.0%</t>
  </si>
  <si>
    <t>같은 자료의 일반수소 입찰 기술능력 요건은 고장 시 전압 0 pu에서 150 ms 지속, 고장 제거 후 1,350 ms 이내 회복, 회복 후 0.9 pu 연속운전, 무효전력 공급능력 33% 이상, 유효전력 회복 5초 이내, 속도조정률 5.0% 이내이며, 소규모 연료전지는 별도 요건을 검토 중이다.</t>
  </si>
  <si>
    <t>6쪽과 일치한다. 2023년 '(안)'이다.</t>
  </si>
  <si>
    <t>DOE 비교: PEM &lt;120 °C, PAFC 150~200 °C, MCFC 600~700 °C, SOFC 500~1,000 °C; 효율 PEM 60%/40%, PAFC 40%, MCFC 50%, SOFC 60%; SOFC 제한된 정지 횟수</t>
  </si>
  <si>
    <t>DOE 비교표 기준 운전온도는 PEM &lt;120 °C, PAFC 150~200 °C, MCFC 600~700 °C, SOFC 500~1,000 °C이고, 전기효율은 PEM 60%(직접 수소)·40%(개질연료), PAFC 40%, MCFC 50%, SOFC 60%다. SOFC의 과제로 '제한된 정지 횟수'가 명시되어 있다.</t>
  </si>
  <si>
    <t>https://www.energy.gov/eere/fuelcells/comparison-fuel-cell-technologies</t>
  </si>
  <si>
    <t>두산 M400 수소형 440 kW, 전기 50%, 열 35%(85%); 도시가스형 전기 43%, 열 47%(90%); 열 120 °C·60 °C</t>
  </si>
  <si>
    <t>두산 PureCell Model 400 수소형은 정격 440 kW, 전기효율 50%, 열효율 35%(종합 85%)이고, 도시가스형은 전기 43%, 열 47%(종합 90%)이며, 열은 고온 120 °C·저온 60 °C로 공급된다.</t>
  </si>
  <si>
    <t>수소형은 인용 페이지(prod-0102)에서, 도시가스형은 같은 사이트 prod-0101 페이지에서 확인했다.</t>
  </si>
  <si>
    <t>https://www.doosanfuelcell.com/en/prod/prod-0102/</t>
  </si>
  <si>
    <t>ene.field micro-CHP 67기: PEMFC 고장 64%·SOFC 55% BoP, 스택 원인 1%·2%, 90% 설비 95% 이상 가용</t>
  </si>
  <si>
    <t>유럽 ene.field 등 micro-CHP 67기 분석에서 PEMFC 고장의 64%, SOFC 고장의 55%가 BoP에서 발생했고, 스택 원인 정지는 PEMFC 1%, SOFC 2%였으며, 설비의 90%가 95% 이상 가용했다.</t>
  </si>
  <si>
    <t>IEA AFC TCP 보고서 2~3쪽과 일치한다(Nielsen 등 인용). 첫해 무고장·가용률 100%인 설비가 45%였다.</t>
  </si>
  <si>
    <t>https://ieafuelcell.com/wp-content/uploads/2024/11/2021-stationary-application-performance.pdf</t>
  </si>
  <si>
    <t>IEA AFC TCP: 대형(0.4~30 MW) 고온형 연료전지 시스템 기동·정지 0→100% 약 4시간</t>
  </si>
  <si>
    <t>IEA AFC TCP 자료에 따르면 대형(0.4~30 MW) 연료전지 시스템은 대부분 고온형이라 현재 기동·정지 특성이 0→100% 약 4시간 수준이며, 1분 이내로 줄이는 것이 개선 목표다.</t>
  </si>
  <si>
    <t>9쪽과 일치한다.</t>
  </si>
  <si>
    <t>PEMFC 기동 시뮬레이션: 방전 저항 없으면 캐소드 &gt;1.6 V, 수소 충진 2배 시 탄소손실 48.5% 감소, 방전 저항 적용 시 약 43~63% 감소</t>
  </si>
  <si>
    <t>PEMFC 기동 시뮬레이션(유사 3D 모델)에서 캐소드 전위는 방전 저항이 없으면 1.6 V를 넘고(저항이 있으면 1.5 V 미만), 수소 충진 속도를 2배로 높이면 탄소 손실이 48.5% 줄며, 방전 저항(2×10⁻⁴ / 5×10⁻⁴ Ω·m²)을 적용하면 탄소 손실이 약 63% / 43% 줄었다.</t>
  </si>
  <si>
    <t>MDPI 직접 접근은 403이라 리더 프록시로 본문을 확인했다(0.08 → 0.03/0.045 µg_C/cm²). 모델 결과이며 실험 검증은 정성적이다.</t>
  </si>
  <si>
    <t>https://www.mdpi.com/1996-1073/13/9/2338</t>
  </si>
  <si>
    <t>25 cm² 단셀 2,000사이클: 스텝 19 µV/cycle(20.67%), 램프 제한 10 µV/cycle(10.72%), 기여 부하변동 56.78%·기동정지 33.17%(인용)</t>
  </si>
  <si>
    <t>25 cm² 단셀 2,000사이클 동적부하 실험에서 램프율이 높은 DLC1은 19 µV/cycle(성능 손실 20.67%), 램프율을 제한한 DLC2는 10 µV/cycle(10.72%)로 열화했고, 성능 저하 기여는 부하변동 56.78%, 기동·정지 33.17%로 인용됐다.</t>
  </si>
  <si>
    <t>초록 수치와 일치한다. 논문 본문에는 20.581%/10.78%로 달리 적혀 있어 논문 자체가 불일치한다. 기여도는 선행 문헌(차량용)에서 인용한 값이다.</t>
  </si>
  <si>
    <t>https://pmc.ncbi.nlm.nih.gov/articles/PMC9763490/</t>
  </si>
  <si>
    <t>Pei 등(2008) 열화계수: 기동정지 0.00196%/회, 부하변동 0.0000593%/회, 아이들 0.00126%/h, 고출력 0.00147%/h(2차 인용)</t>
  </si>
  <si>
    <t>Pei 등(2008)의 운전조건별 열화계수는 기동정지 0.00196%/회, 부하변동 0.0000593%/회, 아이들 0.00126%/h, 고출력 0.00147%/h다(자동차용 실험값, 2차 인용).</t>
  </si>
  <si>
    <t>수치는 UPC 석사논문 부록의 파이썬 코드 상수로만 확인했다(2차·저신뢰 출처). Pei 원문은 열어보지 못했으니 보고서에는 원문 인용이 필요하다.</t>
  </si>
  <si>
    <t>https://upcommons.upc.edu/server/api/core/bitstreams/f6d57a68-e1cb-437d-91db-d205fc74234f/content</t>
  </si>
  <si>
    <t>DOE 수송용 목표: −20 °C에서 50% 출력 30초, 무보조 −30 °C, 기동·정지 5,000사이클</t>
  </si>
  <si>
    <t>DOE 수송용(80 kW급) 연료전지 시스템의 2020년·궁극 목표는 −20 °C에서 정격 50% 출력까지 30초, 무보조 기동 −30 °C, 기동·정지 내구 5,000사이클(1.2 A/cm²에서 전압 저하 5% 미만)이다.</t>
  </si>
  <si>
    <t>값은 일치한다. 목표 연도(2020·궁극)와 차량용 시스템이라는 대상을 적어야 정치형과 혼동하지 않는다.</t>
  </si>
  <si>
    <t>https://www.energy.gov/cmei/fuels/doe-technical-targets-fuel-cell-systems-and-stacks-transportation-applications</t>
  </si>
  <si>
    <t>FCLAB PHM 2014: FC1 70 A 정전류, FC2 70 A+10% 삼각리플(5 kHz); FC1 3% 기준 실제 RUL 63 h를 62 h로 예측</t>
  </si>
  <si>
    <t>FCLAB IEEE PHM 2014 데이터에서 FC1은 70 A 정전류, FC2는 70 A에 10% 삼각 전류 리플(5 kHz)로 운전됐다. RUL 고장 임계를 FC1 초기전압(3.35 V)의 3.0~4.0%, FC2(3.33 V)의 4.5~5.5% 손실로 둔 연구에서 FC1 3% 기준 실제 RUL 63 h를 62 h로 예측했다.</t>
  </si>
  <si>
    <t>리더 프록시로 본문을 확인했다. FA 점수 0.9671, 전압 RMSE 0.00147도 일치한다.</t>
  </si>
  <si>
    <t>https://doi.org/10.3390/electronics13122335</t>
  </si>
  <si>
    <t>(사례) ene.field/IEA AFC TCP: 첫해 45% 무고장, 90% 설비 95% 이상 가용, BoP 64%/55%, 스택 1%/2%, PEM 603기·SOFC 403기</t>
  </si>
  <si>
    <t>ene.field(FCH JU)/IEA AFC TCP 정리: 첫해 45%는 고장 없이 가용률 100%. 설비의 90%가 95% 이상 가용. PEMFC 고장의 64%, SOFC 고장의 55%가 BoP. 스택 원인 정지는 PEMFC 1%, SOFC 2%. ene.field에서만 PEM 603기·SOFC 403기 설치.</t>
  </si>
  <si>
    <t>일치한다(분석 대상은 67기).</t>
  </si>
  <si>
    <t>(사례) HEALTH-CODE: 임피던스 2,300건 이상(정상 25%·고장 75%), 온보드 수 분, DC/DC 최대효율 94%, EU 약 236만 유로</t>
  </si>
  <si>
    <t>EU H2020 HEALTH-CODE(2015.9~2018.12): 실험실 임피던스 측정 2,300건 이상(정상 약 25%, 고장 75%), 온보드 측정·처리 수 분, micro-CHP용 DC/DC 하드웨어 최대효율 94%, EU 지원 €2,358,736. 진단 정확도·수명연장률 수치는 없다.</t>
  </si>
  <si>
    <t>CORDIS 보고와 일치한다.</t>
  </si>
  <si>
    <t>https://cordis.europa.eu/project/id/671486/reporting</t>
  </si>
  <si>
    <t>(사례) INSIGHT: EIS로 연료결핍·탄소석출 식별, 알고리즘 &lt;5초, 도구 원가 &lt;2%(목표 3%), 목표 서비스·스택교체비 50%·TCO 10%/kWh</t>
  </si>
  <si>
    <t>EU FCH JU INSIGHT(CEA 주관, 11개 기관, 2017~2019): EIS로 스택 수준 연료결핍·탄소석출 식별, 고장탐지 알고리즘 5초 미만, 진단 도구 원가 시스템의 2% 미만(목표 3%). 기대효과 목표: 서비스·스택 교체비 50% 절감, 수명 +5%·가용률 +1%로 TCO 10%/kWh 절감. 필드 달성치는 공개되지 않았다.</t>
  </si>
  <si>
    <t>CORDIS 보고와 일치한다(EU 기여 약 250만 유로, 총 약 310만 유로).</t>
  </si>
  <si>
    <t>https://cordis.europa.eu/project/id/735918/reporting</t>
  </si>
  <si>
    <t>(사례) FCLAB·FEMTO-ST/Wu et al. 2024: 임계 3.0/3.5/4.0%·4.5/5.0/5.5%, RUL 63 h→62 h, 점수 0.9671, RMSE 0.00147 V</t>
  </si>
  <si>
    <t>FCLAB 데이터/Wu et al.(Electronics 2024): FC1 고장 임계는 초기전압(3.35 V)의 3.0/3.5/4.0% 손실, FC2는 4.5/5.0/5.5%. 제안 모델은 FC1 3% 기준 실제 RUL 63 h를 62 h로 예측했고 최종점수 0.9671, 전압 예측 RMSE 0.00147. 실험실·수 % 손실 범위라는 한계가 있다.</t>
  </si>
  <si>
    <t>본문 표 3·5와 일치한다.</t>
  </si>
  <si>
    <t>(사례) CEA LITEN·Grenoble INP Energies 2020: &gt;1.6 V vs &lt;1.5 V, 48.5% 감소(최저 유속 76% 증가), 63%/43% 감소, 리브 비율 편차 5%→15% 이상</t>
  </si>
  <si>
    <t>CEA LITEN·Grenoble INP(Energies 2020, 모델): 방전 저항이 없으면 캐소드 전위 1.6 V 초과, 있으면 1.5 V 미만. 수소 유속 2배 시 탄소 손실 48.5% 감소(최저 유속은 76% 증가). 방전 저항 2×10⁻⁴/5×10⁻⁴ Ω·m²에서 탄소 손실 약 63%/43% 감소. 리브 비율이 30%에서 70%로 커지면 국부 부식 편차가 약 5%에서 15% 이상으로 증가.</t>
  </si>
  <si>
    <t>본문과 일치한다. 시뮬레이션 결과다.</t>
  </si>
  <si>
    <t>(사례) Scientific Reports 2022: 19 vs 10 µV/cycle, 20.67% vs 10.72%, 옴저항 +14.56% vs +10.18%, DLC1 촉매층 박리</t>
  </si>
  <si>
    <t>PSG College of Technology·Luleå University of Technology 등(Scientific Reports 2022): 전압 감쇠율 DLC1 19 µV/cycle vs DLC2 10 µV/cycle. 총 성능 손실 20.67% vs 10.72%(본문 표기는 20.581% vs 10.78%). 옴저항 증가 14.56% vs 10.18%. DLC1에서 촉매층 박리 관찰.</t>
  </si>
  <si>
    <t>일치한다. 논문 초록과 본문의 성능 손실 수치가 서로 조금 다르다.</t>
  </si>
  <si>
    <t>미국 DOE FEMP O&amp;M 가이드(Release 3.0)는 예지보전이 예방보전 대비 8~12%, 예방보전은 반응형 대비 12~18% 비용 절감 효과가 있다고 제시한다.</t>
  </si>
  <si>
    <t>미국 DOE FEMP O&amp;M Best Practices Guide(Release 3.0, 2010, PNNL-19634)는 과거 연구 추정치로 예지보전이 예방보전만 할 때보다 8~12%, 예방보전이 반응형보다 평균 12~18% 비용을 줄인다고 제시한다.</t>
  </si>
  <si>
    <t>PDF 본문 5.3~5.4절에서 확인. 원문 표현은 'Past studies have estimated', 'Estimated'로 추정치다. 2010년 자료라 최신 근거는 아니다.</t>
  </si>
  <si>
    <t>https://www.energy.gov/sites/prod/files/2020/04/f74/omguide_complete_w-eo-disclaimer.pdf</t>
  </si>
  <si>
    <t>같은 DOE 가이드가 인용한 독립 조사의 산업 평균: 예지보전 도입 시 투자수익 10배, 정비비 25~30% 감소, 고장 70~75% 제거, 정지시간 35~45% 감소, 생산 20~25% 증가(오래된 조사 인용이라 재현성 제한).</t>
  </si>
  <si>
    <t>원문 그대로 유지. 단, 조사 출처와 연도가 가이드에 적혀 있지 않다는 점을 함께 적는다.</t>
  </si>
  <si>
    <t>원문은 'independent surveys indicate the following industrial average savings'. 조사 이름·표본·연도가 없다. 경영진 보고서에서 기대효과(ROI 10배 등)로 쓰면 안 된다.</t>
  </si>
  <si>
    <t>NIST 조사(Thomas·Weiss 2021): 예방·예지 정비 의존도가 높은 하위 50% 제조사는 반응형 의존 상위 50%보다 비계획 정지가 52.7%, 결함이 78.5% 적었다.</t>
  </si>
  <si>
    <t>원문 그대로 유지.</t>
  </si>
  <si>
    <t>International Journal of PHM 2021. 'bottom 50% ... 52.7% less unplanned downtime and 78.5% less defects' 확인. 미국 제조업 대상이며 발전소 대상이 아니다.</t>
  </si>
  <si>
    <t>https://pmc.ncbi.nlm.nih.gov/articles/PMC9890517/</t>
  </si>
  <si>
    <t>같은 NIST 조사에서 예지 중심 기업은 예방 중심 기업보다 비계획 정지 18.5%, 결함 87.3%가 적었지만 출하액 대비 정비비 지출은 212.3% 많았다.</t>
  </si>
  <si>
    <t>원문 그대로 유지(정비비는 출하액 대비 '직접 정비비' 비율).</t>
  </si>
  <si>
    <t>'Direct maintenance costs relative to shipments are 212.3% higher' 확인. 상관관계 조사이며 인과 효과가 아니다.</t>
  </si>
  <si>
    <t>NREL PV Fleets(8.5GW, 인버터 채널 24,000개) 분석에서 1차 데이터 품질 심사를 통과한 채널은 81%였고, 오염 분석에는 255개 시스템만 사용할 수 있었다.</t>
  </si>
  <si>
    <t>NREL PV Fleets(8.5GW, 인버터 데이터 채널 24,000개) 분석에서 1차 품질 심사 후 시스템 1,700개와 인버터·전력량계 채널 28,700개(81%)가 분석 가능했다. 가용률·PI 분석은 1,128개 시스템, 오염 분석은 수작업 검증을 거친 255개 시스템만 쓸 수 있었다.</t>
  </si>
  <si>
    <t>NREL/TP-5K00-88769(2024.2). 81%는 인버터와 전력량계 채널을 합친 28,700개 기준이다. www.nrel.gov 주소는 DNS 조회에 실패했고 docs.nlr.gov에서 같은 파일을 받았다.</t>
  </si>
  <si>
    <t>https://docs.nlr.gov/docs/fy24osti/88769.pdf</t>
  </si>
  <si>
    <t>NREL PV Fleets: 인버터 가용률 중앙값 0.99(P90 0.95), RdTools YoY 열화율 중앙값 −0.75%/년, 오염을 분리한 CODS 기준 약 −0.5%/년이며 RdTools 열화 분석에는 2년 이상 데이터가 필요하다.</t>
  </si>
  <si>
    <t>원문 그대로 유지(시스템 단위 가용률 P50 0.99/0.991, P90 0.95. −0.75%/년은 2022년 분석의 기준값으로 이번 갱신 분석과 일치. CODS 중앙값 −0.50%/년).</t>
  </si>
  <si>
    <t>요약·5장·6장에서 확인. RdTools에 2년 이상 데이터가 필요하다는 서술도 있다(채널 23,464개, 시스템 1,575개 통과).</t>
  </si>
  <si>
    <t>SunEdison 450개 PV 시스템의 27개월 서비스 티켓 3,600건 분석에서 에너지 손실의 50%가 사건의 5%에서 발생했고 인버터가 발생 빈도와 에너지 손실 모두 최대였다.</t>
  </si>
  <si>
    <t>슬라이드에 '3600 service tickets for 450 systems in 27 months(2010.1~2012.3)', '50% of energy loss caused by 5% of incidents', 인버터가 빈도·손실 모두 최대라고 적혀 있다. 운영사 발표 자료이며 게재처는 표기돼 있지 않다.</t>
  </si>
  <si>
    <t>전통·머신러닝·딥러닝 16개 이상 탐지 기법을 실데이터 5종에서 비교한 결과 어느 계열도 다른 계열을 일관되게 능가하지 못했다.</t>
  </si>
  <si>
    <t>Audibert 외. 초록: 16개 기법·실데이터 5종, 'no family of methods outperforms the others'.</t>
  </si>
  <si>
    <t>https://arxiv.org/abs/2204.01637</t>
  </si>
  <si>
    <t>NASA JPL의 LSTM 기반 텔레메트리 이상 탐지에서 경보 가지치기 적용 시 정밀도가 48.9%에서 87.5%로 올랐고 재현율은 84.8%에서 80.0%로 소폭 감소했다.</t>
  </si>
  <si>
    <t>본문 표와 서술에서 확인: 재현율 −4.8%p(84.8→80.0), 정밀도 +38.6%p(48.9→87.5), 1스텝 예측 정규화 절대오차 5.9%.</t>
  </si>
  <si>
    <t>https://arxiv.org/abs/1802.04431</t>
  </si>
  <si>
    <t>머신러닝과 통계적 공정관리를 결합한 SCADA 기반 모델이 풍력 150기(6개 단지)에서 비계획 정지 최대 2개월 전에 이상을 예측했다.</t>
  </si>
  <si>
    <t>원문 그대로 유지(이탈리아·루마니아 6개 단지, 150기, 283MW. 2년 오프라인 검증과 1년 실시간 검증).</t>
  </si>
  <si>
    <t>초록의 'anomaly prediction up to 2 months before device unscheduled downtime' 확인. '최대'이므로 평균 선행시간이 아니다.</t>
  </si>
  <si>
    <t>https://arxiv.org/abs/1910.09808</t>
  </si>
  <si>
    <t>IEA PVPS 기준 4MWp 발전소 열화상 점검은 휴대형 카메라로 15~20시간, 드론으로 5~10시간이 걸리며 항공 열화상 순촬영 속도는 시간당 2~3MWp에 이른다.</t>
  </si>
  <si>
    <t>원문 그대로 유지(모든 조건이 이상적일 때 기준. 순촬영 속도는 원문상 '최대 약 12,000장/시간').</t>
  </si>
  <si>
    <t>12~13쪽과 항공 IRT 절에서 확인. 원문에 'all the other factors ... are ideal' 전제가 붙어 있다.</t>
  </si>
  <si>
    <t>LFP 셀 124개 데이터에서 첫 100사이클 데이터만으로 수명을 시험 오차 9.1%로 예측했고, 첫 5사이클로 2군 분류 오차 4.9%를 달성했다(실험실 조건).</t>
  </si>
  <si>
    <t>원문 그대로 유지(상용 LFP/흑연 셀 124개를 급속충전 조건에서 사이클링, 수명 150~2,300사이클).</t>
  </si>
  <si>
    <t>Nature Energy 초록에서 확인.</t>
  </si>
  <si>
    <t>EPRI BESS 고장 DB에서 연령이 알려진 고장의 72%가 시공·시운전·운전 첫 2년 내에 발생했고, 셀 직접 원인은 분류된 사건의 11%였으며, 2018~2019년 사건 30건 중 27건이 한국에서 발생했다.</t>
  </si>
  <si>
    <t>EPRI 2024년 5월 백서 본문에서 확인: 72%, 'Only 3 incidents, or 11%', '30 incidents ... 27 occurred in South Korea'. epri.com 제품 페이지는 내용이 표시되지 않아 공개 PDF로 확인했다.</t>
  </si>
  <si>
    <t>https://restservice.epri.com/publicdownload/000000003002030360/0/Product</t>
  </si>
  <si>
    <t>Duke Energy M&amp;D 센터는 1만 1천여 개 예측 모델로 발전 설비의 87%를 분석가 5명이 감시하며, 2016년 단일 조기 발견 사건으로 3,400만 달러 손실을 회피했다(벤더 성공 사례).</t>
  </si>
  <si>
    <t>원문 그대로 유지(벤더 성공 사례).</t>
  </si>
  <si>
    <t>'over $34 millions in a single early catch event in 2016', 모델 11,000개 이상, 데이터 포인트 50만 개 이상, 설비 87% 이상, 분석가 5명(7개 주) 확인. 절감액 산정 방식은 공개되지 않았다.</t>
  </si>
  <si>
    <t>https://www.aveva.com/en/perspectives/success-stories/duke-energy/</t>
  </si>
  <si>
    <t>Google DeepMind는 미국 풍력 700MW에 36시간 앞 머신러닝 발전량 예측을 적용해 풍력 에너지 가치를 약 20% 높였다고 발표했다.</t>
  </si>
  <si>
    <t>원문 그대로 유지(2019년 2월 자사 발표. 기준은 시간별 약정을 하지 않는 경우).</t>
  </si>
  <si>
    <t>'roughly 20 percent, compared to the baseline scenario of no time-based commitments'. 발전량 증가가 아니라 시장 가치 증가이며, 초기 결과라는 단서가 있다.</t>
  </si>
  <si>
    <t>https://deepmind.google/blog/machine-learning-can-boost-the-value-of-wind-energy/</t>
  </si>
  <si>
    <t>예측 분석 기반 동적 기회 정비 전략이 해상풍력 수치 예제에서 연간 정비비를 기존 전략 대비 39.24%, 단순 전략 대비 32.46% 절감했다(시뮬레이션).</t>
  </si>
  <si>
    <t>원문 그대로 유지(수치 예제 결과).</t>
  </si>
  <si>
    <t>ScienceDirect는 403이라 Semantic Scholar의 초록으로 확인했다: 'widely employed and the simple maintenance strategies ... 39.24% and 32.46% respectively'.</t>
  </si>
  <si>
    <t>https://doi.org/10.1016/j.rser.2019.03.049</t>
  </si>
  <si>
    <t>(사례) Google DeepMind: 냉각 에너지 최대 40% 절감, 전기 손실 반영 후 PUE 오버헤드 15% 절감(2016년 자사 발표)</t>
  </si>
  <si>
    <t>2016.7.20. 'up to 40 percent'와 '15 percent reduction in overall PUE overhead' 확인. 데이터센터 사례라 발전소 O&amp;M과는 거리가 있다.</t>
  </si>
  <si>
    <t>https://deepmind.google/discover/blog/deepmind-ai-reduces-google-data-centre-cooling-bill-by-40/</t>
  </si>
  <si>
    <t>(사례) Zhang 외(Nature Communications, 2023): 전기차 347대·충전 스냅숏 69만여 개, 딥러닝 포함 최신 기법 대비 우수, 예상 직접 고장·점검 비용 감소(비율은 초록 미기재)</t>
  </si>
  <si>
    <t>Crossref 초록: 'over 690,000 LiB charging snippets from 347 EVs', 'reduces the expected direct EV battery fault and inspection costs'.</t>
  </si>
  <si>
    <t>(사례) Attia 외(Nature, 2020): 224개 후보 프로토콜을 16일에 탐색(조기 예측 없는 완전 탐색은 500일 이상)</t>
  </si>
  <si>
    <t>초록: '224 candidates in 16 days (compared with over 500 days using exhaustive search without early prediction)'. 실험실 급속충전 프로토콜 최적화 사례다.</t>
  </si>
  <si>
    <t>(사례) EPRI BESS Failure Incident Database: DB 81건 중 26건 분류 가능, 연령이 알려진 고장의 72%가 시공·시운전·운전 2년 내, 셀 직접 원인 11%, 2018~2023년 계통형 BESS 고장률 97% 감소, 2018~2019년 30건 중 27건이 한국</t>
  </si>
  <si>
    <t>백서 본문에서 81건, 26건, 72%, 11%, 97%, 27/30 모두 확인.</t>
  </si>
  <si>
    <t>(사례) NREL: 8.5GW·인버터 채널 24,000개, 1차 품질 심사 통과 81%, 가용률 중앙값 0.99(P90 0.95), 수명 성능지수 중앙값 0.95, 열화율 중앙값 −0.75%/년(오염 분리 시 약 −0.5%/년)</t>
  </si>
  <si>
    <t>원문 그대로 유지(81%는 인버터·전력량계 채널 28,700개 기준).</t>
  </si>
  <si>
    <t>수명 PI 중앙값 0.95(P90 0.83) 확인. 원래 URL(www.nrel.gov)은 열리지 않아 docs.nlr.gov로 바꾸기를 권한다.</t>
  </si>
  <si>
    <t>(사례) BFH(베른 응용과학대) 연구진, IEEE Access 2025: 여러 터빈 연합학습이 단일 터빈 모델보다 일관 우수(특히 데이터 부족 시)·필요 이력 데이터 감소, 이질적 단지 간 협력은 성능 저하 가능(정성 결과, 수치 초록 미기재)</t>
  </si>
  <si>
    <t>OpenAlex 초록에서 확인. 저자 소속(BFH)은 초록에 없어 확인하지 못했다.</t>
  </si>
  <si>
    <t>https://doi.org/10.1109/ACCESS.2025.3599360</t>
  </si>
  <si>
    <t>(사례) Duke Energy / Google DeepMind 풍력 / Gigoni 외 / Severson 외 / Zhou·Yin / IEA PVPS Task 13 / NASA JPL / NIST 사례 수치(핵심주장과 동일)</t>
  </si>
  <si>
    <t>각 핵심주장 판정과 같다.</t>
  </si>
  <si>
    <t>같은 출처와 수치라 개별 핵심주장 판정으로 대신한다. JPL 1스텝 정규화 절대오차 5.9%, Gigoni 283MW도 확인했다.</t>
  </si>
  <si>
    <t>(AI효과) IEA PVPS 조사: PV 고장탐지 연구의 알고리즘은 인공신경망 30%, KNN 10%, 퍼지 8%, SVM·선형회귀 각 7%</t>
  </si>
  <si>
    <t>요약본 2쪽에서 확인. 알고리즘 성능이 아니라 문헌에 등장한 빈도다.</t>
  </si>
  <si>
    <t>https://iea-pvps.org/wp-content/uploads/2021/10/Final-Executive-Summary-IEA-PVPS-T13-19_2021_PV-Failure-Monitoring.pdf</t>
  </si>
  <si>
    <t>(AI효과) EL 사전학습→열화상 전이학습 99.23%(실험실 유도 결함 데이터라 현장 성능은 낮을 수 있음) / Chronos 42개 데이터셋 제로샷</t>
  </si>
  <si>
    <t>원문 그대로 유지(단독 학습 98.67% 대비 전이학습 99.23%).</t>
  </si>
  <si>
    <t>Semantic Scholar 초록에서 'lab induced defects', '99.23%' 확인. Chronos(arXiv 2403.07815) 초록의 42개 데이터셋과 제로샷 성능도 확인.</t>
  </si>
  <si>
    <t>https://doi.org/10.1016/j.solener.2020.01.055</t>
  </si>
  <si>
    <t>LLM 기반 시계열 예측 기법 3종에서 LLM 구성요소를 제거하거나 단순 어텐션 층으로 바꿔도 예측 성능이 떨어지지 않았고 대부분 오히려 좋아졌다(NeurIPS 2024 spotlight).</t>
  </si>
  <si>
    <t>초록 확인. arXiv comments에 'Accepted to NeurIPS 2024 (Spotlight)'. 표준 데이터셋 13종 기준.</t>
  </si>
  <si>
    <t>https://arxiv.org/abs/2406.16964</t>
  </si>
  <si>
    <t>LLM을 이용한 제로샷 시계열 이상탐지(SigLLM)는 11개 데이터셋에서 최신 딥러닝 모델보다 약 30% 낮은 성능을 보였다.</t>
  </si>
  <si>
    <t>원문 그대로 유지(F1 기준, 최고 딥러닝 모델 AER이 약 30% 높음).</t>
  </si>
  <si>
    <t>초록: 'state-of-the-art deep learning models are still superior in performance, achieving results 30% better'.</t>
  </si>
  <si>
    <t>https://arxiv.org/abs/2405.14755</t>
  </si>
  <si>
    <t>수학 문제에 답과 무관한 문장 하나를 추가하면 최신 LLM 전반에서 정답률이 최대 65%p 떨어졌다(GSM-Symbolic, ICLR 2025).</t>
  </si>
  <si>
    <t>수학 문제에 그럴듯하지만 답과 무관한 문장 하나를 넣으면(GSM-NoOp) 시험한 모든 최신 LLM의 성능이 떨어졌고, 가장 크게는 소형 모델(Phi-3-mini)에서 65% 넘게 떨어졌다(GSM-Symbolic, ICLR 2025).</t>
  </si>
  <si>
    <t>원문은 'up to 65%'이고 최대치는 소형 모델에서 나왔다. 대형 최신 모델의 하락 폭은 이보다 작으므로 '전반에서 65%p'로 읽히지 않게 쓴다.</t>
  </si>
  <si>
    <t>https://machinelearning.apple.com/research/gsm-symbolic</t>
  </si>
  <si>
    <t>계산을 Python 인터프리터에 맡기는 PAL 방식은 GSM8K에서 사고연쇄(CoT)를 쓴 PaLM-540B보다 top-1 정확도가 절대 15%p 높았다.</t>
  </si>
  <si>
    <t>원문 그대로 유지(PAL은 Codex 사용).</t>
  </si>
  <si>
    <t>초록: 'surpassing PaLM-540B which uses chain-of-thought by absolute 15% top-1'.</t>
  </si>
  <si>
    <t>https://arxiv.org/abs/2211.10435</t>
  </si>
  <si>
    <t>검색증강생성(RAG)을 쓰는 상용 법률 AI 도구도 17%(Lexis+ AI)~33%(Westlaw AI-Assisted Research) 비율로 환각했다.</t>
  </si>
  <si>
    <t>원문 그대로 유지(Ask Practical Law AI도 17% 이상).</t>
  </si>
  <si>
    <t>'each hallucinate between 17% and 33%', 'Westlaw ... one-third of its responses' 확인.</t>
  </si>
  <si>
    <t>https://arxiv.org/abs/2405.20362</t>
  </si>
  <si>
    <t>인용 생성 벤치마크 ALCE에서 최상위 모델도 ELI5 데이터셋 응답의 약 50%가 인용으로 완전히 뒷받침되지 않았다.</t>
  </si>
  <si>
    <t>초록: 'on the ELI5 dataset, even the best models lack complete citation support 50% of the time'.</t>
  </si>
  <si>
    <t>https://arxiv.org/abs/2305.14627</t>
  </si>
  <si>
    <t>EPRI 전력 분야 LLM 벤치마크(전문가 94명, 2,100여 문항)에서 선도 모델은 객관식 83~86%였으나 서술형으로 바꾸면 평균 27%p 하락했고, 전문가 수준 문항은 46~71%에 그쳤다.</t>
  </si>
  <si>
    <t>2025.12.9 보도자료에서 94명, 2,100여 문항, 83~86%, 27%p, 46~71%, 웹검색 2~4% 확인. 보도자료라 세부 방법론은 원 보고서로 확인해야 한다.</t>
  </si>
  <si>
    <t>https://www.prnewswire.com/news-releases/epri-publishes-first-electric-sector-benchmarking-results-of-public-llms-302635785.html</t>
  </si>
  <si>
    <t>기업 환경 Text-to-SQL 벤치마크 Spider 2.0에서 o1-preview 기반 에이전트의 성공률은 21.3%로, Spider 1.0(91.2%)·BIRD(73.0%)보다 크게 낮았다.</t>
  </si>
  <si>
    <t>원문 그대로 유지(ICLR 2025).</t>
  </si>
  <si>
    <t>초록에서 확인. Spider 2.0-lite 설정에서는 최고 파서도 5.7%였다.</t>
  </si>
  <si>
    <t>https://arxiv.org/abs/2411.07763</t>
  </si>
  <si>
    <t>Microsoft RCACopilot은 1년치 실제 클라우드 인시던트에서 근본원인 범주 예측 정확도 최대 0.766을 기록했다.</t>
  </si>
  <si>
    <t>원문 그대로 유지(인시던트 653건, 지표는 micro-F1 0.766·macro-F1 0.533).</t>
  </si>
  <si>
    <t>초록은 'RCA accuracy up to 0.766'이고 본문 표상 micro-F1 값이다. macro-F1은 0.533으로 크게 낮다.</t>
  </si>
  <si>
    <t>https://arxiv.org/abs/2305.15778</t>
  </si>
  <si>
    <t>문맥 임베딩과 문맥 BM25를 결합하면 top-20 검색 실패율이 49%(5.7%→2.9%) 줄고, 재정렬을 더하면 67%(→1.9%) 줄었다(벤더 자체 실험).</t>
  </si>
  <si>
    <t>문맥 임베딩만 쓰면 35%(→3.7%). 벤더 자체 실험이다.</t>
  </si>
  <si>
    <t>https://www.anthropic.com/news/contextual-retrieval</t>
  </si>
  <si>
    <t>BCG 컨설턴트 실험에서 AI 역량 경계 안의 과제는 AI 사용 시 과제 12.2% 증가·속도 25.1% 향상·품질 40% 이상 향상이었지만, 경계 밖 과제에서는 AI 사용자가 정답을 낼 확률이 19%p 낮았다(과신·과의존 위험).</t>
  </si>
  <si>
    <t>Dell'Acqua 외 워킹페이퍼 초록에서 12.2%, 25.1%, 40% 이상, 19%p 확인.</t>
  </si>
  <si>
    <t>https://mitsloan.mit.edu/sites/default/files/2023-10/SSRN-id4573321.pdf</t>
  </si>
  <si>
    <t>Siemens는 생성형 AI 유지보수 코파일럿 파일럿에서 반응정비 시간이 평균 25% 줄었다고 발표했다(벤더 발표, 파일럿 조건 비공개).</t>
  </si>
  <si>
    <t>2025.3.24: 'First pilot use cases have shown ... save on average 25% reactive maintenance time'.</t>
  </si>
  <si>
    <t>https://press.siemens.com/global/en/pressrelease/siemens-expands-industrial-copilot-new-generative-ai-powered-maintenance-offering</t>
  </si>
  <si>
    <t>Aker BP와 Cognite는 RCA 에이전트가 엔지니어 시간을 70% 이상 줄였다고 발표했다(벤더·고객 공동 발표).</t>
  </si>
  <si>
    <t>2025.9.16: 'reduce engineers' time to perform this analysis by over 70%'. 측정 방법은 공개되지 않았다.</t>
  </si>
  <si>
    <t>https://www.cognite.com/en/company/newsroom/aker-bp-leverages-cognite-atlas-ai-tm-to-pioneer-an-ai-first-future-in-exploration-and</t>
  </si>
  <si>
    <t>한국서부발전 WP-GPT는 내부 문서 1,432건과 질의응답 데이터 약 35,000건을 활용하며, 국정원 생성형 AI 보안지침에 따라 외부 통신망과 완전히 분리해 구축됐다.</t>
  </si>
  <si>
    <t>원문 그대로 유지(2024년 6월부터 7개월 개발).</t>
  </si>
  <si>
    <t>기사에서 1,432건, 약 35,000건, 국정원 지침에 따른 내부망 분리 확인. 업무 효과 수치는 없다.</t>
  </si>
  <si>
    <t>https://www.thefairnews.co.kr/news/articleView.html?idxno=39990</t>
  </si>
  <si>
    <t>풍력 정비로그 LLM 라벨링에서 확신도가 높은 라벨의 F1은 0.91, 낮은 라벨은 0.50으로(gpt-o3), 확신도 기반 사람 검토 분기가 유효했다. 저자들은 완전 자동화를 아직 권장하지 않았다.</t>
  </si>
  <si>
    <t>원문 그대로 유지(정답 기준은 벤치마크 표준 라벨, 정비로그 400여 건).</t>
  </si>
  <si>
    <t>본문: gpt-o3 'High' 확신 F1 0.91, 'Low' 0.50. 초록에서 Human-in-the-Loop를 권고한다.</t>
  </si>
  <si>
    <t>IEA PVPS Task 13 사례에서 10 MWp PV 발전소의 20년 수익이 PID로 기대 대비 48% 낮아질 상황이 완화조치 시 5~6% 감소로 줄었다(비용 우선순위 수 CPN 방법론).</t>
  </si>
  <si>
    <t>원문 그대로 유지(20년 누적 재무 이익 기준).</t>
  </si>
  <si>
    <t>'48% below original expectations', '5%–6% below' 확인. 정비 티켓 핵심 파라미터 자동 추출이 'of vital importance'라는 서술도 확인.</t>
  </si>
  <si>
    <t>https://iea-pvps.org/key-topics/quantification-of-technical-risks-in-pv-power-systems/</t>
  </si>
  <si>
    <t>이웃 비교형 가정용 에너지 리포트(Opower)는 무작위 실험에서 평균 2.0%의 에너지 소비 절감을 보였다(피드백 리포트의 행동 변화 효과 참고치).</t>
  </si>
  <si>
    <t>원문 그대로 유지(미국 60만 가구, 사용량 상위 10% 가구는 6.3%).</t>
  </si>
  <si>
    <t>Allcott(2011) 초록에서 확인. 가정용 행동 넛지라 발전소 정비 코칭 효과의 근거로 쓰기는 약하다.</t>
  </si>
  <si>
    <t>https://econpapers.repec.org/RePEc:eee:pubeco:v:95:y:2011:i:9-10:p:1082-1095</t>
  </si>
  <si>
    <t>(사례) 한국서부발전 / Siemens / Aker BP / EPRI / Microsoft / Stanford RegLab 사례 수치(핵심주장과 동일)</t>
  </si>
  <si>
    <t>같은 출처와 수치라 개별 판정으로 대신한다.</t>
  </si>
  <si>
    <t>EPRI BESS 고장 데이터베이스 분석(2024)에 따르면 전 세계 계통용 BESS 고장률은 2018년부터 2023년까지 97% 줄었다(배치 GW당 약 9.2건 → 0.2건).</t>
  </si>
  <si>
    <t>원문 그대로 유지(GW당 건수는 그림 1에서 읽은 근사값).</t>
  </si>
  <si>
    <t>97%는 본문에서 확인했다. 9.2와 0.2는 본문에 숫자로 적혀 있지 않고 그림 1의 선 그래프(2018년 약 9, 2023년 0에 가까움)와 일치한다.</t>
  </si>
  <si>
    <t>EPRI 분석에서 시스템 연령이 알려진 BESS 고장의 72%는 시공·시운전 중이거나 운전 시작 후 2년 이내에 일어났다. 최다 근본원인은 통합·조립·시공(원인 판정 26건 중 10건)이었다.</t>
  </si>
  <si>
    <t>원문 그대로 유지(26건 중 2건은 설계·통합 이중 분류).</t>
  </si>
  <si>
    <t>Utility Dive(2024.5.21)에서 10/26 확인. EPRI 백서에서 72%와 최다 원인 확인.</t>
  </si>
  <si>
    <t>https://www.utilitydive.com/news/cells-and-modules-not-responsible-for-most-battery-energy-storage-system-fa/716732/</t>
  </si>
  <si>
    <t>Raptor Maps 2025 Global Solar Report(193GWdc 분석)는 2024년 설비 이상으로 인한 태양광 매출 손실을 MWdc당 연 약 5,720달러로 추산했다.</t>
  </si>
  <si>
    <t>원문 그대로 유지(서비스사 보고서의 2차 인용).</t>
  </si>
  <si>
    <t>SolarQuarter 기사(2026.2.17)에서 193GWdc, 약 5,720달러/MWdc 확인. 원 보고서는 확인하지 않았다.</t>
  </si>
  <si>
    <t>Raptor Maps 2024 보고서에서 태양광 발전소의 설비 이상 기인 전력손실은 전년 대비 3.13%에서 4.47%로 늘었고, 연간 매출 손실은 46억 달러로 추정됐다.</t>
  </si>
  <si>
    <t>원문 그대로 유지(2024.3.13 발간 6판, 125GW 분석, 2023년 데이터).</t>
  </si>
  <si>
    <t>보도자료에서 3.13%→4.47%, 46억 달러, 125GW 확인.</t>
  </si>
  <si>
    <t>https://raptormaps.com/press/global-solar-report-finds-4b-annual-revenue-loss-in-solar-industry</t>
  </si>
  <si>
    <t>화웨이 Smart I-V Curve Diagnosis는 100MW 발전소 전체 스트링을 15분 안에 스캔하고 14종 고장 리포트를 자동 생성한다고 밝혔다(데이터 정밀도 0.5%, TÜV 인증 주장).</t>
  </si>
  <si>
    <t>원문 그대로 유지(원문은 '최대 0.5% 정밀도', TÜV Rheinland 현장 인증이라는 제조사 주장).</t>
  </si>
  <si>
    <t>2019.7.10 제조사 뉴스.</t>
  </si>
  <si>
    <t>https://solar.huawei.com/au/news-room/au/2019/news-20190710</t>
  </si>
  <si>
    <t>미국 DOE FEMP O&amp;M Best Practices Guide(Release 3.0, 2010)가 인용한 산업 설문 평균에 따르면, 예지정비를 도입하면 투자수익 10배, 정비비 25~30% 감소, 고장 70~75% 제거, 다운타임 35~45% 감소 효과가 있다.</t>
  </si>
  <si>
    <t>원문 그대로 유지(출처 불명의 '독립 조사' 인용이며 생산 20~25% 증가도 포함).</t>
  </si>
  <si>
    <t>5.3절에서 확인. 조사 출처와 연도가 없다.</t>
  </si>
  <si>
    <t>ACCURE는 유럽 BESS 운영사의 SOC 추정 오차를 45% 이상에서 ±3%로 개선했다고 발표했다(자사 사례).</t>
  </si>
  <si>
    <t>원문 그대로 유지(자사 사례).</t>
  </si>
  <si>
    <t>'&gt;45%'(최대 50%) → '+/- 3%', LFP 전용 SOC 모델, 저가 시간대 재보정 일정 확인. 매출 수치는 없다.</t>
  </si>
  <si>
    <t>https://www.accure.net/case-studies/50-mwh-bess-europe</t>
  </si>
  <si>
    <t>ACCURE·Gore Street의 75MW Dogfish BESS(ERCOT) 분석에서 SOC 부정확 때문에 가격 피크 때 3.8MWh가 유휴 상태였고, 보정 효과는 연 11만 달러 이상(ERCOT 평균 거래수익 대비 약 5%)으로 제시됐다(자사 사례).</t>
  </si>
  <si>
    <t>ACCURE·Gore Street의 75MW/1시간 Dogfish BESS(ERCOT)에서 한 방전 사이클(새벽 2시, 267달러/MWh) 동안 SOC 부정확으로 3.8MWh가 유휴 상태였고(약 1,000달러 손실), 보정 효과는 연 11만 달러 이상(ERCOT 평균 거래수익 대비 약 5%)으로 추정됐다(자사 사례).</t>
  </si>
  <si>
    <t>3.8MWh는 한 사이클의 사례다. 연 11만 달러는 추정 편익이다.</t>
  </si>
  <si>
    <t>https://www.accure.net/case-studies/gore-street-capital-turning-soc-accuracy-into-5-more-trading-revenue</t>
  </si>
  <si>
    <t>블룸에너지는 미국·인도의 원격감시·제어센터(RMCC) 두 곳에서 서버당 500개 이상의 성능 파라미터를 실시간 감시하고, 예측분석으로 고장 전에 원격 조정한다(SEC 10-K).</t>
  </si>
  <si>
    <t>2021 회계연도 10-K: 'monitor over 500 system performance parameters real time', 'override the onboard automated control systems', 'advanced predictive analytics ... prior to a failure occurring'.</t>
  </si>
  <si>
    <t>https://www.sec.gov/Archives/edgar/data/1664703/000166470322000034/be-20211231.htm</t>
  </si>
  <si>
    <t>EU Clean Hydrogen JU는 2024년 과제공고에서 전해조 모니터링·진단 도구가 100kW 이상 산업 규모에서 아직 실증·통합되지 않았다고 명시했다. KPI로는 고장 탐지·분리 95% 이상, 진단 시스템 비용 시스템의 3% 이하, 신뢰도 99%를 제시했다.</t>
  </si>
  <si>
    <t>원문 그대로 유지(기존 EU 과제의 도구는 대부분 연료전지용이며 100kW 초과 전해조에 실증·통합되지 않았다는 취지).</t>
  </si>
  <si>
    <t>HORIZON-JTI-CLEANH2-2024-01-04 과제 본문에서 FDI 95% 초과, 3% 이하(PEMEL 15유로/kW), 열화 PEMEL 0.12%/1000h·AEL 0.10%/1000h, 신뢰도 99% 목표 확인.</t>
  </si>
  <si>
    <t>https://www.clean-hydrogen.europa.eu/system/files/2024-01/Clean%20Hydrogen%20JU%20AWP%202024%20-%20all%20chapters_Final_For_Publication.pdf</t>
  </si>
  <si>
    <t>한국에너지공단 REMS에는 2020년 6월 기준 2.1만여 개 신재생 설비가 연동됐고, 설비 제조사 26곳·모니터링 장치 제조사 17곳이 인증을 받았다.</t>
  </si>
  <si>
    <t>원문 그대로 유지(대상은 정부 보급사업 설비, 당시 연동률 약 92%).</t>
  </si>
  <si>
    <t>2020.7.2 기사에서 '2만1천여 개소', 26개·17개 확인. 보급사업(주로 소규모) 설비라 사업용 발전소 전체를 대표하지 않는다.</t>
  </si>
  <si>
    <t>수소안전관리 로드맵 2.0(2023.5)에 따르면 수소충전소는 검사기관이 가스누출·이상압력을 실시간 모니터링하지만, 수소 생산·배관·저장시설은 실시간 모니터링이 없다. 정부는 2030년까지 '수소시설 통합모니터링체계' 구축을 추진한다.</t>
  </si>
  <si>
    <t>수소안전관리 로드맵 2.0(2023.5.9)에 따르면 수소충전소는 검사기관이 가스누출·이상압력을 실시간 모니터링하지만 충전소 외 수소시설(생산기지, 수소배관망, 대규모 액화수소 인수저장설비 등)은 실시간 모니터링이 없다. 정부는 2030년 과제로 '수소시설 통합 안전관리 모니터링 체계' 구축을 추진하고, 실시간 모니터링 대상 시설에 정기검사 제외 등 인센티브를 검토한다.</t>
  </si>
  <si>
    <t>로드맵 31쪽 ⑦항(30년)에서 확인. PDF 글꼴 문제로 텍스트 추출이 안 돼 페이지 이미지로 확인했다.</t>
  </si>
  <si>
    <t>http://www.shinkim.com/newsletter/2023/GA/2023_vol185/links/2023_vol185_102.pdf</t>
  </si>
  <si>
    <t>ENGIE Darwin 플랫폼은 시스템 투자 1,300만 유로(2년) 대비 3년간 2,700만 유로의 추가수익을 냈다(2018년 기사, 주로 풍력).</t>
  </si>
  <si>
    <t>원문 그대로 유지(2018.4.20 기사).</t>
  </si>
  <si>
    <t>'€13 million over two years', 'extra income of €27 million over three years', 요 제어 0.5% 손실→10년 1,000만 유로, 1초·10분 샘플링 확인.</t>
  </si>
  <si>
    <t>https://www.windpower-international.com/analysis/engies-darwin-project-the-evolution-of-data-management-6124931/</t>
  </si>
  <si>
    <t>한국서부발전 WISE 예측진단센터의 AI 패턴인식(APR) 예측경보는 2023년 24건, 2024년 30건의 설비 이상을 조기탐지했다(화력 중심).</t>
  </si>
  <si>
    <t>한국서부발전은 AI 패턴학습 기반 조기경보로 2023년 24건의 조기경보(태안 보일러 튜브 미세누설 사전 감지 포함), 2024년 30건의 설비고장 예방 사례를 냈다고 밝혔다(화력 중심, WISE 예측진단센터는 2024년 11월 개소).</t>
  </si>
  <si>
    <t>전기신문 2025.5.25. 2023년은 '조기경보 24건', 2024년은 '고장 예방 사례 30건'으로 표현이 다르다.</t>
  </si>
  <si>
    <t>https://www.electimes.com/news/articleView.html?idxno=355329</t>
  </si>
  <si>
    <t>제주 행원 3.3MW급 수전해 실증단지는 2024년 9월부터 하루 약 200kg의 그린수소를 생산해 수소버스 17대 등에 공급한다.</t>
  </si>
  <si>
    <t>아주경제 2026.9.13에서 확인.</t>
  </si>
  <si>
    <t>https://www.ajunews.com/view/20260913110346855</t>
  </si>
  <si>
    <t>드론 열화상 AI 연구(Measurement, 2026)에서 EfficientNet-B0 모델은 가중 F1 0.927을 기록했고, 점검~보고 시간이 147분에서 54분으로 63% 줄었다.</t>
  </si>
  <si>
    <t>원문 그대로 유지(폴란드·스페인 연구진, 사진 2,400장(실험실 오염 사진 260장 포함), 먼지 클래스 F1은 0.732).</t>
  </si>
  <si>
    <t>AI타임스(2026.9.4)의 2차 보도로 확인했다. 63%는 147→54분을 계산한 값이며 기사 표현은 '60% 이상'이다. 논문 원문은 확인하지 않았다.</t>
  </si>
  <si>
    <t>(사례) Huawei (FusionSolar): 100MW 발전소 15분 스캔, 14종 고장 리포트, 데이터 정밀도 0.5%(TÜV 인증 주장). 칭하이 골무드 100MW에서 전 스트링 100% 정확도(제조사 주장). 고장률 12.1% 말레이시아 발전소는 조치 시 발전량 1.5% 이상 증가 가능(제조사 추정).</t>
  </si>
  <si>
    <t>말레이시아: 9,496개 스트링 중 1,149개 고장. 1.5%는 '모두 조치할 경우'의 추정이다.</t>
  </si>
  <si>
    <t>(사례) Power Factors (고객: Origis Energy, European Energy): Origis Energy가 4.6GW 태양광+저장의 성능목표 98% 관리에 사용. European Energy 2.4GW 계약(2025). 정비비·발전량 개선 %는 미공개(자사 발표).</t>
  </si>
  <si>
    <t>페이지에서 4.6GW·98%, European Energy 2.4GW, REMI 310GW 이상 학습 확인. 계약 연도 2025는 페이지에서 확인하지 못했다.</t>
  </si>
  <si>
    <t>https://www.powerfactors.com/unity/asset-performance-management</t>
  </si>
  <si>
    <t>(사례) ACCURE Battery Intelligence: 결함 모듈 2개 특정, 1주 내 결과 제공, 5만 달러 절감, 인수시험 6주 지연 해소(자사 사례).</t>
  </si>
  <si>
    <t>원문 그대로 유지(북미 100MWh 이상 태양광+ESS, 1개월 데이터 분석).</t>
  </si>
  <si>
    <t>자사 사례 페이지에서 모두 확인.</t>
  </si>
  <si>
    <t>(사례) ACCURE Battery Intelligence: 전해액 누출 제조결함 모듈을 식별·교체해 잠재 열폭주를 예방. 가용률·선행일수 수치는 미공개.</t>
  </si>
  <si>
    <t>'manufacturing defect that was spilling electrolytes', 'prevent a potentially dangerous thermal runaway event' 확인. 이 페이지에 '20개 이상 안전 지표' 서술은 없다.</t>
  </si>
  <si>
    <t>(사례) EPRI (PNNL·TWAICE 공동): 전 세계 계통용 BESS 고장률 2018→2023년 97% 감소(GW당 9.2→0.2). 연령이 알려진 고장의 72%가 시공·시운전·운전 2년 이내 발생. 최다 원인은 통합·조립·시공(26건 중 10건). 운전 원인은 모두 제어계에서 발생했고, BMS를 보완하는 모니터링·분석을 권고.</t>
  </si>
  <si>
    <t>원문 그대로 유지(GW당 수치는 그림에서 읽은 근사값).</t>
  </si>
  <si>
    <t>'in all cases, the operation failure occurred in the controls system', 'Battery monitoring and analytics to augment BMS operation' 확인.</t>
  </si>
  <si>
    <t>(사례) ENGIE: 시스템 투자 1,300만 유로(2년) 대비 3년 추가수익 2,700만 유로. 요 제어 보정으로 0.5% 생산손실 방지, 10년 약 1,000만 유로(2018, 주로 풍력).</t>
  </si>
  <si>
    <t>1,000만 유로는 '10년간 보정 시 가치' 추정이다.</t>
  </si>
  <si>
    <t>(사례) Sandia National Laboratories: 정량 효과 미공개(분석 도구). 코칭 폐루프 설계의 참고 구현.</t>
  </si>
  <si>
    <t>pvops 문서에서 O&amp;M 텍스트·시계열·I-V 분석 기능 확인. 정량 결과는 없다. 문서 첫 페이지에는 개발 기관이 명시돼 있지 않다.</t>
  </si>
  <si>
    <t>https://pvops.readthedocs.io/en/latest/</t>
  </si>
  <si>
    <t>(사례) Nel Hydrogen: 서비스계약으로 당일 접수 응답 보장. 가동률·절감 수치는 미공개.</t>
  </si>
  <si>
    <t>Nel Hydrogen NASOC: 문제 해결 요청에 당일 접수 확인(same-day acknowledgment), 원격 감시·보고, 예방정비는 옵션. 가동률·절감 수치는 미공개.</t>
  </si>
  <si>
    <t>'응답 보장'은 해결이 아니라 접수 확인 수준이다.</t>
  </si>
  <si>
    <t>https://nelhydrogen.com/support/nasoc/</t>
  </si>
  <si>
    <t>(사례) Università degli Studi di Salerno 등 (EU FCH JU): 5종 고장(연료조성 변화·공기 결핍·연료 결핍·황 피독·플러딩/건조) 대상, TRL 3~4→5. 예산 약 236만 유로. 정확도 수치는 미공개.</t>
  </si>
  <si>
    <t>원문 그대로 유지(HEALTH-CODE, 2015.9~2018.12, 2,358,740유로).</t>
  </si>
  <si>
    <t>과제 페이지에서 확인. 연료전지(PEMFC·SOFC) 진단 과제이며 전해조가 아니다.</t>
  </si>
  <si>
    <t>https://www.clean-hydrogen.europa.eu/projects-dashboard/projects-repository/health-code_en</t>
  </si>
  <si>
    <t>(사례) Clean Hydrogen Partnership (EU): 기존 도구는 100kW 이상 산업 규모 전해조에 미실증이라고 명시. KPI: FDI 95% 이상, 진단 시스템 비용 3% 이하(PEMEL 15유로/kW), 열화 PEMEL 0.12%/1000h·AEL 0.10%/1000h, 신뢰도 99%.</t>
  </si>
  <si>
    <t>AWP 2024 57~58쪽에서 확인.</t>
  </si>
  <si>
    <t>(사례) OFFIS (독일 BMBF): 개념 설계 단계, 시뮬레이션 데이터로 1차 구현 시험 중(실측 성과 없음).</t>
  </si>
  <si>
    <t>원문 그대로 유지(SEGIWA 과제, BMBF 03HY121F).</t>
  </si>
  <si>
    <t>'being developed and tested based on simulated data' 확인.</t>
  </si>
  <si>
    <t>https://www.frontiersin.org/journals/energy-efficiency/articles/10.3389/fenef.2024.1437214/full</t>
  </si>
  <si>
    <t>(사례) NREL (ARIES): 고풍속에서는 수평 운동량, 저풍속에서는 부력이 플룸 형상을 지배함을 보임. 수치 성과는 미공개.</t>
  </si>
  <si>
    <t>원문 그대로 유지(전해조 기반 수소 생산시설의 수소 확산 디지털 트윈 연구).</t>
  </si>
  <si>
    <t>OSTI 서지 페이지에서 확인.</t>
  </si>
  <si>
    <t>https://www.osti.gov/biblio/3011897</t>
  </si>
  <si>
    <t>(사례) 한국에너지기술연구원(KIER): 고장진단 정확도 95% 이상, 변화하는 일사에서 전압·전류 시뮬레이션 예측 98% 이상(2023.9 보도).</t>
  </si>
  <si>
    <t>원문 그대로 유지(10년 이상 수집한 I-V 곡선 데이터 기반).</t>
  </si>
  <si>
    <t>기사에서 95% 이상, 98% 확인. 보도 날짜는 따로 확인하지 않았다.</t>
  </si>
  <si>
    <t>https://www.koit.co.kr/news/articleView.html?idxno=116998</t>
  </si>
  <si>
    <t>(사례) 한국서부발전: 조기탐지 2023년 24건, 2024년 30건. 태안 보일러 튜브 미세누설 사전 감지(보도).</t>
  </si>
  <si>
    <t>원문 그대로 유지(2023년 조기경보 24건, 2024년 고장예방 사례 30건).</t>
  </si>
  <si>
    <t>전기신문 2025.5.25.</t>
  </si>
  <si>
    <t>(사례) 한국수력원자력: 이상 징후 11건 사전 포착, 약 1,680억원 발전손실 예방(2026.4 중앙일보 보도, 기간 미공개).</t>
  </si>
  <si>
    <t>원문 그대로 유지(원전종합상황실 고지능형 조기경보시스템, 2026.4.27 중앙일보 기업 홍보성 기획기사).</t>
  </si>
  <si>
    <t>'이상 징후 11건을 사전에 포착 ... 약 1680억원 규모의 발전 손실' 확인. [국민의 기업] 기획이라 신뢰도는 중간 이하다.</t>
  </si>
  <si>
    <t>https://v.daum.net/v/4tUksBsAyB</t>
  </si>
  <si>
    <t>(AI효과) 다음날 발전량 예측: 중부발전·제이케이코어 발전량 예측 정확도 99%(정의 미공개, 2026 보도). KETEP 2026 과제: 미세먼지 반영 예측정확도 95% 이상 목표.</t>
  </si>
  <si>
    <t>원문 그대로 유지(KETEP 과제 원문은 '미세먼지(soiling) 영향 포함 예측 정확도 95% 이상').</t>
  </si>
  <si>
    <t>한국경제 2026.2.19에서 99%, rndcircle 과제 공고에서 95% 목표 확인. soiling은 엄밀히 '표면 오염'이라 '미세먼지'와 같은 개념은 아니다. 99% 정확도는 지표 정의가 없어 국내 예측제도 오차율 8%와 직접 비교할 수 없다.</t>
  </si>
  <si>
    <t>https://app.rndcircle.io/gov-grant/5f1bfc5f-45c2-485f-b78e-e2a19ca5b61e</t>
  </si>
  <si>
    <t>출처 목록</t>
  </si>
  <si>
    <t>'주기·수명' 번호는 설계수명·법정 점검·분석항목×주기·정기 리포트·개선항목 시트의 [n]과 대응합니다. '가평 P&amp;ID·…' 119행은 실제 사업 도면 조사(부산물 산소·폐열회수·수처리·감압과 버퍼·외부 반입)의 출처이며, 번호는 영역별로 따로 매겨져 있습니다.</t>
  </si>
  <si>
    <t>구분</t>
  </si>
  <si>
    <t>번호</t>
  </si>
  <si>
    <t>제목</t>
  </si>
  <si>
    <t>URL</t>
  </si>
  <si>
    <t>주기·수명</t>
  </si>
  <si>
    <t>1</t>
  </si>
  <si>
    <t>Jordan &amp; Kurtz, Photovoltaic Degradation Rates — An Analytical Review</t>
  </si>
  <si>
    <t>https://www.osti.gov/biblio/1073525</t>
  </si>
  <si>
    <t>2</t>
  </si>
  <si>
    <t>Jordan et al., Compendium of Photovoltaic Degradation Rates (NREL)</t>
  </si>
  <si>
    <t>https://research-hub.nrel.gov/en/publications/compendium-of-photovoltaic-degradation-rates-2</t>
  </si>
  <si>
    <t>3</t>
  </si>
  <si>
    <t>NREL, Availability and Performance Loss Factors for U.S. PV Fleet Systems (FY24)</t>
  </si>
  <si>
    <t>4</t>
  </si>
  <si>
    <t>IEA PVPS T13-22:2021 Assessment of Performance Loss Rate of PV Power Systems</t>
  </si>
  <si>
    <t>https://iea-pvps.org/wp-content/uploads/2021/04/IEA-PVPS-T13-22_2021-Assessment-of-Performance-Loss-Rate-of-PV-Power-Systems-report.pdf</t>
  </si>
  <si>
    <t>5</t>
  </si>
  <si>
    <t>RdTools 문서(degradation_year_on_year, soiling_srr)</t>
  </si>
  <si>
    <t>https://rdtools.readthedocs.io/en/stable/ / https://rdtools.readthedocs.io/en/stable/generated/rdtools.soiling.soiling_srr.html</t>
  </si>
  <si>
    <t>6</t>
  </si>
  <si>
    <t>IEA PVPS T13-21:2022 Soiling Losses(한국어 번역본)</t>
  </si>
  <si>
    <t>https://iea-pvps.org/wp-content/uploads/2023/01/Korean-Translation-Report-IEA-PVPS-T13-21_2022-Soiling-Losses.pdf</t>
  </si>
  <si>
    <t>7</t>
  </si>
  <si>
    <t>Ilse et al. 2019, Techno-Economic Assessment of Soiling Losses (Joule)</t>
  </si>
  <si>
    <t>https://www.cell.com/joule/fulltext/S2542-4351(19)30422-2</t>
  </si>
  <si>
    <t>8</t>
  </si>
  <si>
    <t>NREL, Best Practices for O&amp;M of PV and Energy Storage Systems, 3rd Ed.</t>
  </si>
  <si>
    <t>https://docs.nlr.gov/docs/fy19osti/73822.pdf</t>
  </si>
  <si>
    <t>9</t>
  </si>
  <si>
    <t>SolarPower Europe, O&amp;M Best Practice Guidelines v6.0(공식 페이지 / PDF 사본)</t>
  </si>
  <si>
    <t>https://www.solarpowereurope.org/insights/thematic-reports/operation-and-maintenance-best-practice-guidelines-version-6-0-1 / https://oie.rs/wp-content/uploads/2025/02/SolarPower-Europe-OM-Best-Practices-Guidelines-1-1.pdf</t>
  </si>
  <si>
    <t>10</t>
  </si>
  <si>
    <t>Solar Best Practices – Key Performance Indicators</t>
  </si>
  <si>
    <t>https://solarbestpractices.com/guidelines/detail/key-performance-indicators</t>
  </si>
  <si>
    <t>11</t>
  </si>
  <si>
    <t>Solar Best Practices – AM Guidelines v2 Technical Asset Management(보고)</t>
  </si>
  <si>
    <t>https://solarbestpractices.com/guidelines/detail/technical-asset-management-2</t>
  </si>
  <si>
    <t>12</t>
  </si>
  <si>
    <t>IEA PVPS T13-25:2022 Guidelines for O&amp;M in Different Climates</t>
  </si>
  <si>
    <t>https://iea-pvps.org/wp-content/uploads/2022/11/IEA-PVPS-Report-T13-25-2022-OandM-Guidelines.pdf</t>
  </si>
  <si>
    <t>13</t>
  </si>
  <si>
    <t>Hukseflux, IEC 61724-1:2021 What's new</t>
  </si>
  <si>
    <t>https://www.hukx.com/uploads/iec-61724-1-2021-version-what-is-new.pdf</t>
  </si>
  <si>
    <t>14</t>
  </si>
  <si>
    <t>IEC 61724-1 샘플링·기록 간격 2차 요약(원문 Table 1 미확인)</t>
  </si>
  <si>
    <t>https://www.linkedin.com/pulse/part-1-2-weather-data-acquisition-according-iec-61724-1-thomas-boldt</t>
  </si>
  <si>
    <t>15</t>
  </si>
  <si>
    <t>JinkoSolar Tiger Neo 보증 조건</t>
  </si>
  <si>
    <t>https://www.jinkosolar.com/en/site/tigerneo</t>
  </si>
  <si>
    <t>16</t>
  </si>
  <si>
    <t>NREL ATB 2024 Utility-Scale PV</t>
  </si>
  <si>
    <t>https://atb.nlr.gov/electricity/2024/utility-scale_pv</t>
  </si>
  <si>
    <t>17</t>
  </si>
  <si>
    <t>NREL ATB 2024 Utility-Scale Battery Storage</t>
  </si>
  <si>
    <t>https://atb.nlr.gov/electricity/2024/utility-scale_battery_storage</t>
  </si>
  <si>
    <t>18</t>
  </si>
  <si>
    <t>BFH, Life Expectancy of PV Inverters and Optimizers (WCPEC-8, 2022)</t>
  </si>
  <si>
    <t>https://www.bfh.ch/dam/jcr:5bfd5c32-f70f-4bf6-8d60-fdab6094e164/2022_09_WCPEC-8_3DV.1.46_-_Life_Expectancy_of_PV_inverters.pdf</t>
  </si>
  <si>
    <t>19</t>
  </si>
  <si>
    <t>Sandia, Current Photovoltaic Reliability Challenges (OSTI 1114630)</t>
  </si>
  <si>
    <t>https://www.osti.gov/servlets/purl/1114630</t>
  </si>
  <si>
    <t>20</t>
  </si>
  <si>
    <t>Cornell Dubilier, Aluminum Electrolytic Capacitor Application Guide</t>
  </si>
  <si>
    <t>https://www.ielogical.com/assets/M-125/ElectroAppGUIDE_CDE.pdf</t>
  </si>
  <si>
    <t>21</t>
  </si>
  <si>
    <t>ERLPhase, Fundamental Principles of Transformer Thermal Loading (IEEE C57.91 요약)</t>
  </si>
  <si>
    <t>https://www.erlphase.com/downloads/papers/WPRC2010_Fundamental_Principles_of_Transformer_Thermal_Loading.pdf</t>
  </si>
  <si>
    <t>22</t>
  </si>
  <si>
    <t>오원욱·천성일(2015), 태양전지 모듈의 소일링에 의한 성능 저하</t>
  </si>
  <si>
    <t>https://koreascience.kr/article/JAKO201514751644626.pdf</t>
  </si>
  <si>
    <t>23</t>
  </si>
  <si>
    <t>한전 웹진, 봄철 계통안정화를 위한 재생에너지 출력제어</t>
  </si>
  <si>
    <t>http://www.kepco-webzine.co.kr/06/story02.html</t>
  </si>
  <si>
    <t>24</t>
  </si>
  <si>
    <t>IEC 62446-2:2020 Maintenance of PV systems</t>
  </si>
  <si>
    <t>https://webstore.iec.ch/en/publication/27382</t>
  </si>
  <si>
    <t>25</t>
  </si>
  <si>
    <t>PNNL-33283, 2022 Grid Energy Storage Technology Cost and Performance Assessment</t>
  </si>
  <si>
    <t>26</t>
  </si>
  <si>
    <t>DOE FEMP, Battery Energy Storage System Evaluation Method (2023)</t>
  </si>
  <si>
    <t>https://www.energy.gov/sites/default/files/2024-01/bess-evaluation-method.pdf</t>
  </si>
  <si>
    <t>27</t>
  </si>
  <si>
    <t>EPRI (2024), Insights from EPRI's BESS Failure Incident Database</t>
  </si>
  <si>
    <t>28</t>
  </si>
  <si>
    <t>Naumann et al. (2018), Calendar aging of commercial LiFePO4/graphite cell</t>
  </si>
  <si>
    <t>https://portal.fis.tum.de/en/publications/analysis-and-modeling-of-calendar-aging-of-a-commercial-lifeposub/</t>
  </si>
  <si>
    <t>29</t>
  </si>
  <si>
    <t>Sandia (Preger), Degradation of Commercial Li-ion Cells Beyond 80% / Preger 2020 JES</t>
  </si>
  <si>
    <t>https://www.sandia.gov/files/ess/uploads/2021/ESSRF/Preger_Yuliya.pdf / https://www.osti.gov/pages/biblio/1650174</t>
  </si>
  <si>
    <t>30</t>
  </si>
  <si>
    <t>정책브리핑(2020.2.6), ESS 화재사고 원인 및 안전대책</t>
  </si>
  <si>
    <t>https://www.korea.kr/news/policyNewsView.do?newsId=156374464</t>
  </si>
  <si>
    <t>31</t>
  </si>
  <si>
    <t>전기안전관리법 시행규칙 별표4(2024.6.25 개정)</t>
  </si>
  <si>
    <t>https://www.law.go.kr/LSW/flDownload.do?gubun=&amp;flSeq=158557339&amp;bylClsCd=110201</t>
  </si>
  <si>
    <t>32</t>
  </si>
  <si>
    <t>US DOE, Technical Targets for PEM Electrolysis</t>
  </si>
  <si>
    <t>33</t>
  </si>
  <si>
    <t>IRENA (2020), Green Hydrogen Cost Reduction</t>
  </si>
  <si>
    <t>34</t>
  </si>
  <si>
    <t>EPRI (2022), Technology Brief: Water Electrolyzer Stack Degradation</t>
  </si>
  <si>
    <t>https://restservice.epri.com/publicdownload/000000003002025148/0/Product</t>
  </si>
  <si>
    <t>35</t>
  </si>
  <si>
    <t>Clean Hydrogen JU, SRIA Key Performance Indicators</t>
  </si>
  <si>
    <t>https://www.clean-hydrogen.europa.eu/knowledge-management/strategy-map-and-key-performance-indicators/clean-hydrogen-ju-sria-key-performance-indicators-kpis_en</t>
  </si>
  <si>
    <t>36</t>
  </si>
  <si>
    <t>Weiß et al. (2019), Impact of Intermittent Operation on Lifetime of a PEM Water Electrolyzer</t>
  </si>
  <si>
    <t>37</t>
  </si>
  <si>
    <t>JRC, EU harmonised terminology for low-temperature water electrolysis (JRC112082)</t>
  </si>
  <si>
    <t>https://publications.jrc.ec.europa.eu/repository/handle/JRC112082</t>
  </si>
  <si>
    <t>38</t>
  </si>
  <si>
    <t>EU harmonised accelerated stress testing protocols for LT water electrolysis</t>
  </si>
  <si>
    <t>https://www.clean-hydrogen.europa.eu/system/files/2024-02/ast.pdf</t>
  </si>
  <si>
    <t>39</t>
  </si>
  <si>
    <t>EIGA Doc 246/23, Guideline for Small Scale Hydrogen Production</t>
  </si>
  <si>
    <t>40</t>
  </si>
  <si>
    <t>KGS AH271 2025, 수전해설비 제조의 시설·기술·검사 기준</t>
  </si>
  <si>
    <t>41</t>
  </si>
  <si>
    <t>KGS FU671 2025, 수소연료사용시설의 시설·기술·검사 기준</t>
  </si>
  <si>
    <t>42</t>
  </si>
  <si>
    <t>수소경제 육성 및 수소 안전관리에 관한 법률 시행령(제50조)</t>
  </si>
  <si>
    <t>https://www.law.go.kr/LSW//lsInfoP.do?lsiSeq=278383&amp;chrClsCd=010202&amp;urlMode=lsInfoP&amp;efYd=20251001&amp;ancYnChk=0</t>
  </si>
  <si>
    <t>43</t>
  </si>
  <si>
    <t>고압가스 안전관리법 시행규칙 별표19(2026.6.11 개정)</t>
  </si>
  <si>
    <t>https://www.law.go.kr/LSW/flDownload.do?gubun=&amp;flSeq=164930287&amp;bylClsCd=110201</t>
  </si>
  <si>
    <t>44</t>
  </si>
  <si>
    <t>고압가스 안전관리법 시행규칙 별표22(2026.6.11 개정)</t>
  </si>
  <si>
    <t>https://www.law.go.kr/LSW/flDownload.do?gubun=&amp;flSeq=164930307&amp;bylClsCd=110201</t>
  </si>
  <si>
    <t>45</t>
  </si>
  <si>
    <t>고압가스 안전관리법 시행규칙 별표4(안전밸브 조정·압력계 검사)</t>
  </si>
  <si>
    <t>https://www.law.go.kr/LSW/flDownload.do?gubun=&amp;flSeq=164929995&amp;bylClsCd=110201</t>
  </si>
  <si>
    <t>46</t>
  </si>
  <si>
    <t>NREL/OSTI, Retail Hydrogen Station Reliability Status and Advances</t>
  </si>
  <si>
    <t>47</t>
  </si>
  <si>
    <t>PDC Machines, Hydrogen Compressors for Refueling Stations</t>
  </si>
  <si>
    <t>https://www.pdcmachines.com/hydrogen-compressors-for-hydrogen-refueling-stations/</t>
  </si>
  <si>
    <t>48</t>
  </si>
  <si>
    <t>IJHE, Diaphragm fracture in diaphragm compressor for HRS / Diagnosis by dynamic oil pressure</t>
  </si>
  <si>
    <t>https://www.sciencedirect.com/science/article/abs/pii/S0360319915313318 / https://www.sciencedirect.com/science/article/abs/pii/S0360319923031671</t>
  </si>
  <si>
    <t>49</t>
  </si>
  <si>
    <t>NREL, Hydrogen Safety Sensor Performance and Use Gap Analysis</t>
  </si>
  <si>
    <t>https://docs.nlr.gov/docs/fy18osti/68773.pdf</t>
  </si>
  <si>
    <t>50</t>
  </si>
  <si>
    <t>US DOE, Technical Targets for Stationary CHP Fuel Cell Systems</t>
  </si>
  <si>
    <t>https://www.energy.gov/eere/fuelcells/doe-technical-targets-fuel-cell-systems-stationary-combined-heat-and-power</t>
  </si>
  <si>
    <t>51</t>
  </si>
  <si>
    <t>IEA AFC TCP, Stationary Fuel Cell Applications 2021</t>
  </si>
  <si>
    <t>52</t>
  </si>
  <si>
    <t>US EPA, Catalog of CHP Technologies Section 6 – Fuel Cells</t>
  </si>
  <si>
    <t>https://www.epa.gov/sites/default/files/2015-07/documents/catalog_of_chp_technologies_section_6._technology_characterization_-_fuel_cells.pdf</t>
  </si>
  <si>
    <t>53</t>
  </si>
  <si>
    <t>MDPI Energies (2023) 차량용 PEMFC 열화예측 리뷰(Pei 연구 인용) / Pei et al. 2008</t>
  </si>
  <si>
    <t>https://www.mdpi.com/1996-1073/16/12/4772 / https://www.sciencedirect.com/science/article/abs/pii/S036031990800476X</t>
  </si>
  <si>
    <t>54</t>
  </si>
  <si>
    <t>NREL, Stationary Fuel Cell System Composite Data Products (TP-5400-60796)</t>
  </si>
  <si>
    <t>https://docs.nlr.gov/docs/fy14osti/60796.pdf</t>
  </si>
  <si>
    <t>55</t>
  </si>
  <si>
    <t>(결번: 조사했으나 본문 미사용)</t>
  </si>
  <si>
    <t>56</t>
  </si>
  <si>
    <t>기동정지 열화 리뷰(Applied Energy 2018) / OCV 조건 막 분해 성능저하(J. Power Sources)</t>
  </si>
  <si>
    <t>https://www.sciencedirect.com/science/article/abs/pii/S030626191830607X / https://www.sciencedirect.com/science/article/abs/pii/S0378775308021587</t>
  </si>
  <si>
    <t>Jordan et al. (2022) Photovoltaic fleet degradation insights, Progress in Photovoltaics (OSTI)</t>
  </si>
  <si>
    <t>Jordan et al. (2018) Robust PV Degradation Methodology and Application, IEEE JPV (OSTI)</t>
  </si>
  <si>
    <t>https://www.osti.gov/pages/biblio/1417794</t>
  </si>
  <si>
    <t>RdTools documentation (YoY degradation, clear-sky, SRR/CODS soiling, availability)</t>
  </si>
  <si>
    <t>https://rdtools.readthedocs.io/en/stable/</t>
  </si>
  <si>
    <t>IEA PVPS T13-21:2022 Soiling Losses Executive Summary</t>
  </si>
  <si>
    <t>IEA PVPS T13-30:2025 Degradation and Failure Modes in New PV Cell and Module Technologies (Executive Summary)</t>
  </si>
  <si>
    <t>IEA PVPS T13-10:2018 Review on Infrared and Electroluminescence Imaging for PV Field Applications</t>
  </si>
  <si>
    <t>IEA PVPS T13-24:2021 Qualification of PV Power Plants using Mobile Test Equipment</t>
  </si>
  <si>
    <t>https://iea-pvps.org/wp-content/uploads/2021/04/IEA-PVPS-T13-24_2021_Qualification-of-PV-Power-Plants_report.pdf</t>
  </si>
  <si>
    <t>IEC TS 62446-3:2017 Outdoor infrared thermography (IEC webstore)</t>
  </si>
  <si>
    <t>https://webstore.iec.ch/en/publication/28628</t>
  </si>
  <si>
    <t>PVEducation - Effect of Temperature</t>
  </si>
  <si>
    <t>Sera et al. On the Perturb-and-Observe and Incremental Conductance MPPT Methods for PV Systems (IEEE JPV / Aalborg Univ.)</t>
  </si>
  <si>
    <t>NREL - A Primer on the Unintentional Islanding Protection</t>
  </si>
  <si>
    <t>https://docs.nrel.gov/docs/fy22osti/77782.pdf</t>
  </si>
  <si>
    <t>NREL - IEEE 1547-2018 anti-islanding evaluation</t>
  </si>
  <si>
    <t>https://www2.nrel.gov/grid/ieee-standard-1547/anti-islanding</t>
  </si>
  <si>
    <t>SMA - Residual-current monitoring unit (RCMU) per IEC/EN 62109-2</t>
  </si>
  <si>
    <t>KEPCO - 송·배전용 전기설비 이용규정(분산형전원 배전계통 연계기술기준)</t>
  </si>
  <si>
    <t>이투뉴스 - 500kW 이상 태양광 인버터부터 HVRT·LFRT 성능개선</t>
  </si>
  <si>
    <t>NREL ATB 2024 Utility-Scale PV (ILR 1.34)</t>
  </si>
  <si>
    <t>https://atb.nrel.gov/electricity/2024/utility-scale_pv</t>
  </si>
  <si>
    <t>JinkoSolar Tiger Neo 3.0 product page (TOPCon temperature coefficient, bifaciality)</t>
  </si>
  <si>
    <t>pv Europe - ITRPV: TOPCon to surpass PERC</t>
  </si>
  <si>
    <t>https://www.pveurope.eu/solar-modules/itrpv-topcon-surpass-perc-coming-years</t>
  </si>
  <si>
    <t>The Mechanics of LeTID on PERC Module: A Review (Springer)</t>
  </si>
  <si>
    <t>https://link.springer.com/article/10.1007/s42341-024-00526-3</t>
  </si>
  <si>
    <t>Field study on the severity of photovoltaic potential induced degradation (Sci. Rep. 2022, PMC)</t>
  </si>
  <si>
    <t>Deitsch et al. Automatic Classification of Defective PV Module Cells in EL Images (arXiv)</t>
  </si>
  <si>
    <t>AI타임스 - AI 드론으로 태양광 결함 찾는다…점검시간 147분에서 54분</t>
  </si>
  <si>
    <t>인더스트리뉴스 - 국내 연구진, 인공지능 활용한 태양광발전 고장진단 기술 개발(한국에너지기술연구원)</t>
  </si>
  <si>
    <t>PV Tech - PV project power loss doubled in last five years: Raptor Maps</t>
  </si>
  <si>
    <t>Huawei - What Is the Smart I-V Curve Diagnosis 3.0?</t>
  </si>
  <si>
    <t>Golnas &amp; Voss - PV System Reliability: An Operator's Perspective (SunEdison slides)</t>
  </si>
  <si>
    <t>Gunda et al. A Machine Learning Evaluation of Maintenance Records for Common Failure Modes in PV Inverters (IEEE Access)</t>
  </si>
  <si>
    <t>Sandia pvOps - text and timeseries fusion for PV field data (GitHub)</t>
  </si>
  <si>
    <t>https://github.com/sandialabs/pvOps</t>
  </si>
  <si>
    <t>Micheli et al. Economics of seasonal photovoltaic soiling and cleaning optimization scenarios (Energy)</t>
  </si>
  <si>
    <t>전기신문 - 태양광발전시설 화재 매년 증가…전기적 원인 77%</t>
  </si>
  <si>
    <t>해줌 블로그 - 재생에너지 발전량 예측제도 총정리(정산 구간)</t>
  </si>
  <si>
    <t>https://blog.haezoom.com/insight_vpp_19/</t>
  </si>
  <si>
    <t>Solmetric - Guide to Interpreting I-V Curve Measurements of PV Arrays</t>
  </si>
  <si>
    <t>https://resources.solmetric.com/get/Guide%20to%20Interpreting%20I-V%20Curves.pdf</t>
  </si>
  <si>
    <t>Sandia PVPMC - PV_LIB Toolbox</t>
  </si>
  <si>
    <t>https://pvpmc.sandia.gov/tools/pv_lib-toolbox/</t>
  </si>
  <si>
    <t>ESS 사고원인 조사 결과 및 안전강화 대책 발표(대한민국 정책브리핑, 2019.6.11)</t>
  </si>
  <si>
    <t>산업부, ESS 화재 사고원인 '배터리 결함' 결론(한국원자력신문, 2020 2차 조사)</t>
  </si>
  <si>
    <t>'완충' ESS 화재 지속 발생…충전율 제한 조치 무시돼(ZDNet Korea, 2024.10.7)</t>
  </si>
  <si>
    <t>[국감] ESS 화재 55건 중 45건 만충 후 휴지 중 발생(인사이트에너지뉴스)</t>
  </si>
  <si>
    <t>https://www.inenews.kr/news/articleView.html?idxno=16372</t>
  </si>
  <si>
    <t>법무법인 세종 - 2022 ESS 안전강화 대책 뉴스레터</t>
  </si>
  <si>
    <t>EPRI 2024 White Paper: Insights from EPRI's BESS Failure Incident Database</t>
  </si>
  <si>
    <t>EPRI BESS Failure Incident Database (Storage Wiki)</t>
  </si>
  <si>
    <t>https://storagewiki.epri.com/index.php/BESS_Failure_Incident_Database</t>
  </si>
  <si>
    <t>Energy-Storage.news - BESS failure incident rate dropped 97% between 2018 and 2023</t>
  </si>
  <si>
    <t>PNNL-33283 Energy Storage Grand Challenge Cost and Performance Assessment 2022</t>
  </si>
  <si>
    <t>NREL/CP-5400-67102 Life Prediction Model for Grid-Connected Li-ion Battery Energy Storage System (Smith et al., 2017)</t>
  </si>
  <si>
    <t>Xu et al. Factoring the Cycle Aging Cost of Batteries Participating in Electricity Markets (arXiv/IEEE TPWRS)</t>
  </si>
  <si>
    <t>Severson et al. Data-driven prediction of battery cycle life before capacity degradation (Nature Energy 2019)</t>
  </si>
  <si>
    <t>Attia et al. Closed-loop optimization of fast-charging protocols for batteries with machine learning (Nature 2020)</t>
  </si>
  <si>
    <t>Physics-informed neural network for lithium-ion battery degradation stable modeling and prognosis (Nature Communications 2024)</t>
  </si>
  <si>
    <t>Zhang et al. Realistic fault detection of Li-ion battery via dynamical deep learning (Nature Communications 2023)</t>
  </si>
  <si>
    <t>Aitio &amp; Howey - Predicting battery end of life from solar off-grid system field data using machine learning (arXiv 2021)</t>
  </si>
  <si>
    <t>Accure releases 2025 Energy Storage System Health &amp; Performance Report</t>
  </si>
  <si>
    <t>ACCURE Blog - How the Hysteresis Effect Impacts LFP Battery OCV Curves</t>
  </si>
  <si>
    <t>TWAICE - InterEnergy: Detect, Prove, Resolve (40MWh BESS case)</t>
  </si>
  <si>
    <t>Thermal runaway propagation in automotive Li-ion batteries with NMC-811 and LFP cathodes (ScienceDirect)</t>
  </si>
  <si>
    <t>Golubkov et al. Thermal-runaway experiments on consumer Li-ion batteries with metal-oxide and olivin-type cathodes (RSC Advances 2014)</t>
  </si>
  <si>
    <t>Keil et al. Calendar Aging of Lithium-Ion Batteries (J. Electrochem. Soc. 2016)</t>
  </si>
  <si>
    <t>https://iopscience.iop.org/article/10.1149/2.0411609jes/pdf</t>
  </si>
  <si>
    <t>A look into the voltage plateau signal for detection and quantification of lithium plating (J. Power Sources)</t>
  </si>
  <si>
    <t>https://www.sciencedirect.com/science/article/abs/pii/S0378775318305573</t>
  </si>
  <si>
    <t>Review—Lithium Plating Detection Methods in Li-Ion Batteries (J. Electrochem. Soc.)</t>
  </si>
  <si>
    <t>https://iopscience.iop.org/article/10.1149/1945-7111/abd3b8</t>
  </si>
  <si>
    <t>Capacity loss induced by lithium deposition at graphite anode for LiFePO4/graphite cell (Electrochimica Acta)</t>
  </si>
  <si>
    <t>https://www.sciencedirect.com/science/article/abs/pii/S0013468613016034</t>
  </si>
  <si>
    <t>The importance of degradation mode analysis in parameterising lifetime prediction models (Nature Communications 2025)</t>
  </si>
  <si>
    <t>https://www.nature.com/articles/s41467-025-57968-3</t>
  </si>
  <si>
    <t>Phantom LAM and LLI: Resistance and Hysteresis Bias in Voltage-Curve Degradation Mode Analysis (arXiv)</t>
  </si>
  <si>
    <t>https://arxiv.org/pdf/2512.19773</t>
  </si>
  <si>
    <t>Hardware implementation of EKF based SOC estimate for lithium-ion batteries (Scientific Reports 2025)</t>
  </si>
  <si>
    <t>Advancing state estimation for lithium-ion batteries with hysteresis through systematic EKF tuning (Scientific Reports 2024)</t>
  </si>
  <si>
    <t>https://www.nature.com/articles/s41598-024-61596-0</t>
  </si>
  <si>
    <t>Analog Devices - Simplicity Wins Part 1: A Deeper Look into Active Balancing on BMS</t>
  </si>
  <si>
    <t>https://www.analog.com/en/resources/analog-dialogue/articles/simplicity-wins-part-1.html</t>
  </si>
  <si>
    <t>Analog Devices - Passive Battery Cell Balancing</t>
  </si>
  <si>
    <t>https://www.analog.com/en/resources/technical-articles/passive-battery-cell-balancing.html</t>
  </si>
  <si>
    <t>A comparative study between air cooling and liquid cooling thermal management systems for a high-energy Li-ion battery module (Applied Thermal Engineering)</t>
  </si>
  <si>
    <t>https://www.sciencedirect.com/science/article/abs/pii/S1359431121009352</t>
  </si>
  <si>
    <t>KR20160069397A 배터리 관리 시스템 간의 통신 시스템(MBMS-RBMS-BBMS-BSC 계층)</t>
  </si>
  <si>
    <t>https://patents.google.com/patent/KR20160069397A/ko</t>
  </si>
  <si>
    <t>삼성SDI 뉴스룸 - [배터리 용어집] BMS, PCS, EMS</t>
  </si>
  <si>
    <t>https://news.samsungsdi.com/ko/articleView?seq=332</t>
  </si>
  <si>
    <t>Honeywell Li-ion Tamer Battery Off-Gas Detection</t>
  </si>
  <si>
    <t>Jin et al. Detection of Micro-Scale Li Dendrite via H2 Gas Capture for Early Safety Warning (Joule 2020)</t>
  </si>
  <si>
    <t>Detection toward early-stage thermal runaway gases of Li-ion battery by semiconductor sensor (review, PMC)</t>
  </si>
  <si>
    <t>https://pmc.ncbi.nlm.nih.gov/articles/PMC12006763/</t>
  </si>
  <si>
    <t>UL 9540A Test Method for BESS (UL Solutions)</t>
  </si>
  <si>
    <t>https://www.ul.com/services/ul-9540a-test-method</t>
  </si>
  <si>
    <t>Aurecon - Hornsdale Power Reserve Year 2 Technical and Market Impact Case Study</t>
  </si>
  <si>
    <t>에너지데일리 - 한전, 세계 최대 규모 376MW 주파수조정용 ESS 구축(2017.11.7)</t>
  </si>
  <si>
    <t>Sandia - Degradation of Commercial Lithium-Ion Cells as a Function of Chemistry and Cycling Conditions (OSTI)</t>
  </si>
  <si>
    <t>https://www.osti.gov/pages/biblio/1650174</t>
  </si>
  <si>
    <t>KEC 510 전기저장장치 해설</t>
  </si>
  <si>
    <t>https://cq4l.com/kec510%EC%A0%84%EA%B8%B0%EC%A0%80%EC%9E%A5%EC%9E%A5%EC%B9%98/</t>
  </si>
  <si>
    <t>IRENA — Green Hydrogen Cost Reduction: Scaling up Electrolysers (2020, 표 6 KPI·유연성·운전시간)</t>
  </si>
  <si>
    <t>IEA — Global Hydrogen Review 2025 (LCOH 구성, 45V·EU RFNBO 시간 상관성 동향)</t>
  </si>
  <si>
    <t>https://www.iea.org/reports/global-hydrogen-review-2025</t>
  </si>
  <si>
    <t>Qiu et al. — Extended Load Flexibility of Industrial P2H Plants: A Process Constraint-Aware Scheduling Approach (arXiv 2203.02991)</t>
  </si>
  <si>
    <t>Qiu et al. — Extended Load Flexibility of Utility-Scale P2H Plants: Optimal Production Scheduling Considering Dynamic Thermal and HTO Impurity Effects (arXiv 2301.12242)</t>
  </si>
  <si>
    <t>Baumhof, Raheli, Johnsen, Kazempour — Optimization of Hybrid Power Plants: When Is a Detailed Electrolyzer Model Necessary? (arXiv 2301.05310)</t>
  </si>
  <si>
    <t>Raheli, Werner, Kazempour — A Conic Model for Electrolyzer Scheduling (arXiv 2306.10951)</t>
  </si>
  <si>
    <t>https://arxiv.org/abs/2306.10951</t>
  </si>
  <si>
    <t>Zeng et al. — Optimal Investment Portfolio of Thyristor- and IGBT-based Electrolysis Rectifiers in Utility-scale Renewable P2H Systems (arXiv 2503.17092)</t>
  </si>
  <si>
    <t>국가법령정보센터 — 청정수소 인증제도 운영에 관한 고시(산업통상자원부고시 제2024-39호)</t>
  </si>
  <si>
    <t>U-LEX — 청정수소 인증제도 운영에 관한 고시 전문(제12조 데이터 적격성, 제22조 신고, 부칙)</t>
  </si>
  <si>
    <t>https://www.ulex.co.kr/%EB%B2%95%EB%A5%A0/2100000237332-88297-%EC%B2%AD%EC%A0%95%EC%88%98%EC%86%8C%EC%9D%B8</t>
  </si>
  <si>
    <t>법무법인 세종 — 청정수소 인증제도 운영에 관한 고시 제정 뉴스레터(등급표·월 단위 매칭)</t>
  </si>
  <si>
    <t>김·장 법률사무소 — 청정수소 인증제도 운영에 관한 고시 행정예고(인증기관 지정)</t>
  </si>
  <si>
    <t>https://www.kimchang.com/ko/insights/detail.kc?sch_section=4&amp;idx=28651</t>
  </si>
  <si>
    <t>월간수소경제 — 청정수소 인증제, 어떻게 운영되나(REC 10% 방안, 배출계수, 동일 그리드)</t>
  </si>
  <si>
    <t>https://www.h2news.kr/news/articleView.html?idxno=12249</t>
  </si>
  <si>
    <t>K-ESG — 전력배출계수 갱신 주기 3년→1년 단축, 2023년 0.4173 tCO2eq/MWh</t>
  </si>
  <si>
    <t>U.S. Treasury — Final rules for the Clean Hydrogen Production Tax Credit (45V), 2025-01-03</t>
  </si>
  <si>
    <t>OPC Foundation — OPC UA Online Reference(발행 사양 목록)</t>
  </si>
  <si>
    <t>VDMA P2X4A — OPC UA in hydrogen production (Hydrogen Electrolyzer Companion Specification 킥오프)</t>
  </si>
  <si>
    <t>https://en.industryarena.com/vdma-p2x4a/blog/opc-ua-in-hydrogen-production--21737.html</t>
  </si>
  <si>
    <t>Modbus Organization — MODBUS Application Protocol Specification V1.1b3</t>
  </si>
  <si>
    <t>Eclipse Foundation — Sparkplug Specification 3.0.0</t>
  </si>
  <si>
    <t>SunSpec Alliance — models 저장소(모델 1, 103/113, 160, 201~204, 701~715, 802/803)</t>
  </si>
  <si>
    <t>https://github.com/sunspec/models</t>
  </si>
  <si>
    <t>IEC 61850-7-420:2021 Ed.2 — DER and distribution automation logical nodes</t>
  </si>
  <si>
    <t>https://webstore.iec.ch/en/publication/34384</t>
  </si>
  <si>
    <t>NTP Project — NTP FAQ: How accurate will my clock be</t>
  </si>
  <si>
    <t>Wikipedia — Precision Time Protocol(IEEE 1588-2019, IEC/IEEE 61850-9-3)</t>
  </si>
  <si>
    <t>https://en.wikipedia.org/wiki/Precision_Time_Protocol</t>
  </si>
  <si>
    <t>인더스트리뉴스 — 재생에너지 발전량 예측제도 도입(참여 기준·오차율·정산단가)</t>
  </si>
  <si>
    <t>Google DeepMind — Machine learning can boost the value of wind energy (2019)</t>
  </si>
  <si>
    <t>NREL — Availability and Performance Loss Factors for U.S. PV Fleet Systems (NREL/TP-5K00-88769, 2024)</t>
  </si>
  <si>
    <t>U.S. DOE FEMP — Operations &amp; Maintenance Best Practices Guide, Release 3.0 (예지보전 절감률)</t>
  </si>
  <si>
    <t>NEDO — Fukushima Hydrogen Energy Research Field (FH2R) 완공 발표</t>
  </si>
  <si>
    <t>Kopp et al. — Energiepark Mainz: Technical and economic analysis of the worldwide largest Power-to-Gas plant with PEM electrolysis (IJHE 2017)</t>
  </si>
  <si>
    <t>백종민·김수현 — 국내외 수전해 기술 및 대규모 실증 프로젝트 진행 현황(한국수소및신에너지학회논문집 35(1), 2024)</t>
  </si>
  <si>
    <t>대한민국 정책브리핑 — ESS 화재 조사결과 및 안전대책(충전율 옥내 80%·옥외 90%)</t>
  </si>
  <si>
    <t>환경일보 — 재생에너지 출력제어 확대(제주·육지)</t>
  </si>
  <si>
    <t>https://www.hkbs.co.kr/news/articleView.html?idxno=713412</t>
  </si>
  <si>
    <t>CISA 등 — Principles for the Secure Integration of Artificial Intelligence in Operational Technology (2025-12-03)</t>
  </si>
  <si>
    <t>https://www.cisa.gov/resources-tools/resources/principles-secure-integration-artificial-intelligence-operational-technology</t>
  </si>
  <si>
    <t>Hukseflux — IEC 61724-1:2021 PV monitoring classes 요약(Class A 샘플링·기록 주기)</t>
  </si>
  <si>
    <t>https://www.hukx.com/us/applications/the-iec-61724-12021-standard-for-pv-monitoring-systems-a-quick-explanation</t>
  </si>
  <si>
    <t>KGS AH271 2025 수전해설비 제조의 시설·기술·검사 기준(비상정지 조건·성능 측정법, h2hub 배포본)</t>
  </si>
  <si>
    <t>신재생에너지 통합모니터링시스템(REMS) 소개 및 연동안내(RTU 90일 저장·OPC-UA 보안 요건, 2019.2)</t>
  </si>
  <si>
    <t>http://15887642.com/board/data/notice/108$1$%EC%8B%A0%EC%9E%AC%EC%83%9D%EC%97%90%EB%84%88%EC%A7%80%20%ED%86%B5%ED%95%A9%EB%AA%A8%EB%8B%88%ED%84%B0%EB%A7%81%EC%8B%9C%EC%8A%A4%ED%85%9C(REMS)%20%EC%86%8C%EA%B0%9C%20%EB%B0%8F%20%EC%97%B0%EB%8F%99%EC%95%88%EB%82%B4(%EA%B3%B5%EA%B3%B5%EA%B8%B0%EA%B4%80%20%ED%83%9C%EC%96%91%EA%B4%91%EC%82%AC%EC%97%85%20%EC%84%A4%EB%AA%85%ED%9A%8C,%20190213).pdf</t>
  </si>
  <si>
    <t>US DOE — Technical Targets for PEM Electrolysis</t>
  </si>
  <si>
    <t>US DOE — Technical Targets for Liquid Alkaline Electrolysis</t>
  </si>
  <si>
    <t>IEA Global Hydrogen Review 2025</t>
  </si>
  <si>
    <t>Enagás OTH — Renewable hydrogen production via electrolysis: state-of-the-art (2025.12)</t>
  </si>
  <si>
    <t>https://www.enagas.es/content/dam/enagas/en/files/transicion-energetica/red-hidrogeno/observatorio-tecnologico-hidrogeno/oth-report-electrolysis-dic2025-eng.pdf</t>
  </si>
  <si>
    <t>EIGA Doc 246/23 — Guideline for Small Scale Hydrogen Production</t>
  </si>
  <si>
    <t>ISO 22734:2019 Hydrogen generators using water electrolysis</t>
  </si>
  <si>
    <t>https://www.iso.org/standard/69212.html</t>
  </si>
  <si>
    <t>Energiepark Mainz — Operational and economical analysis (Kopp et al., 2016)</t>
  </si>
  <si>
    <t>Toshiba ESS (2023) Promoting Advanced System Control Using FH2R</t>
  </si>
  <si>
    <t>POWER Magazine — Fukushima Hydrogen Energy Research Field</t>
  </si>
  <si>
    <t>https://www.powermag.com/fukushima-hydrogen-energy-research-field-demonstrates-hydrogen-integration/</t>
  </si>
  <si>
    <t>Qi et al. (2021) Pressure control strategy to extend the loading range of an alkaline electrolysis system, IJHE</t>
  </si>
  <si>
    <t>https://www.sciencedirect.com/science/article/abs/pii/S0360319921032432</t>
  </si>
  <si>
    <t>Dynamic Modeling and Control of Multi-Stack AWE Systems with Shared Gas Separators and Lye Circulation (arXiv 2501.14576)</t>
  </si>
  <si>
    <t>Qi et al. Design of the PID temperature controller for an alkaline electrolysis system with time delays (arXiv 2210.00801)</t>
  </si>
  <si>
    <t>Li et al. Multi-stack P2H Load Control Framework for Power Factor-Constrained Integration (arXiv 2301.09578)</t>
  </si>
  <si>
    <t>https://arxiv.org/abs/2301.09578</t>
  </si>
  <si>
    <t>Koponen et al. (2021) Comparison of thyristor and IGBT-based power supply topologies in industrial water electrolysis, J. Power Sources</t>
  </si>
  <si>
    <t>https://ui.adsabs.harvard.edu/abs/2021JPS...49129443K/abstract</t>
  </si>
  <si>
    <t>Dynamic energy and mass balance model for an industrial alkaline water electrolyzer plant process (IJHE 2021)</t>
  </si>
  <si>
    <t>Modeling alkaline water electrolysis for power-to-x applications: A scheduling approach (IJHE 2021)</t>
  </si>
  <si>
    <t>https://doi.org/10.1016/j.ijhydene.2020.12.111</t>
  </si>
  <si>
    <t>Xu et al. (2024) Degradation prediction of PEM water electrolyzer under constant and start-stop loads based on CNN-LSTM, Energy and AI</t>
  </si>
  <si>
    <t>Research on RUL Prediction of PEMWE Stack Based on LSTM-iTransformer (ACS Omega 2025)</t>
  </si>
  <si>
    <t>https://doi.org/10.1021/acsomega.5c10432</t>
  </si>
  <si>
    <t>Cost-optimized replacement strategies for water electrolysis systems affected by degradation (arXiv 2508.16370)</t>
  </si>
  <si>
    <t>https://arxiv.org/abs/2508.16370</t>
  </si>
  <si>
    <t>Modeling Membrane Degradation in PEM Electrolyzers with Physics-Informed Neural Networks (arXiv 2507.02887)</t>
  </si>
  <si>
    <t>https://arxiv.org/abs/2507.02887</t>
  </si>
  <si>
    <t>Dynamic fault detection and diagnosis for AWE with variational Bayesian sparse PCA (arXiv 2404.15609)</t>
  </si>
  <si>
    <t>https://arxiv.org/abs/2404.15609</t>
  </si>
  <si>
    <t>Weiß et al. (2019) Impact of Intermittent Operation on Lifetime and Performance of a PEM Water Electrolyzer, JES</t>
  </si>
  <si>
    <t>https://doi.org/10.1149/2.0421908jes</t>
  </si>
  <si>
    <t>Cathodic Protection System against a Reverse-Current after Shut-Down in Zero-Gap AWE (JACS Au)</t>
  </si>
  <si>
    <t>NREL — Performance Losses and Current-Driven Recovery from Cation Contaminants in PEM Water Electrolysis (JES 2024)</t>
  </si>
  <si>
    <t>https://doi.org/10.1149/1945-7111/ad576b</t>
  </si>
  <si>
    <t>Becker et al. (2023) Impact of impurities on water electrolysis: a review, Sustainable Energy &amp; Fuels</t>
  </si>
  <si>
    <t>https://doi.org/10.1039/d2se01517j</t>
  </si>
  <si>
    <t>Hao, Zhu, Wang (2025) Failure mechanisms in PEM water electrolyzers, Carbon Future</t>
  </si>
  <si>
    <t>https://doi.org/10.26599/CF.2025.9200060</t>
  </si>
  <si>
    <t>Mass transfer modeling of gas–liquid separators during standby operation of AWE (Chem. Eng. Sci. 2026)</t>
  </si>
  <si>
    <t>https://doi.org/10.1016/j.ces.2026.124145</t>
  </si>
  <si>
    <t>Axens — H2 purification: Take on new challenges by leveraging existing solutions (H2Tech 2023)</t>
  </si>
  <si>
    <t>https://h2-tech.com/articles/2023/july-2023/process-project-optimization/h-sub-2-sub-purification-take-on-new-challenges-by-leveraging-existing-solutions/</t>
  </si>
  <si>
    <t>Sunfire — System Development and Demonstration of Large-Scale High-Temperature Electrolysis (ECS Trans. 2019)</t>
  </si>
  <si>
    <t>https://doi.org/10.1149/09101.2537ecst</t>
  </si>
  <si>
    <t>H2tools — H2-O2 Gas Cross-Over Safe Practice</t>
  </si>
  <si>
    <t>https://h2tools.org/bestpractices/electrolyzer-safety/h2-o2-gas-cross-over-safe-practice</t>
  </si>
  <si>
    <t>Siemens — Electrolyzer Condition Monitoring in Hydrogen Systems</t>
  </si>
  <si>
    <t>https://www.siemens.com/en-us/industries/chemicals/hydrogen/electrolyzer-condition-monitoring/</t>
  </si>
  <si>
    <t>thyssenkrupp nucera — Green Hydrogen Service Solutions (디지털 트윈·예지정비 도구)</t>
  </si>
  <si>
    <t>https://www.thyssenkrupp-nucera.com/newsroom/blog/why-choose-thyssenkrupp-nucera-for-green-hydrogen-service-solutions</t>
  </si>
  <si>
    <t>Data-driven degradation analysis of PEM electrolyzer stacks under dynamic load operation (Energy and AI 2026, 1차 리서치 인용)</t>
  </si>
  <si>
    <t>https://www.sciencedirect.com/science/article/pii/S2666546826001163</t>
  </si>
  <si>
    <t>전기신문(2023) 국내 첫 상용화급 수전해 프로젝트(부안 2.5 MW PEM)</t>
  </si>
  <si>
    <t>월간수소경제(2022) 제주 12.5 MW급 그린수소 생산 실증 본격화</t>
  </si>
  <si>
    <t>월간수소경제(2026-09-14) 전해조 시장 판 흔드는 중국…2026년 글로벌 출하 67% 전망</t>
  </si>
  <si>
    <t>월간수소경제(2026-09-07) 온사이트 수전해 사업 해보니…인허가·인증 정비가 우선</t>
  </si>
  <si>
    <t>https://www.h2news.kr/news/articleView.html?idxno=14252</t>
  </si>
  <si>
    <t>KGS FU671 2025 수소연료사용시설의 시설·기술·검사 기준 (H2HUB 배포본)</t>
  </si>
  <si>
    <t>고압가스 안전관리법 시행규칙 (H2HUB 배포본)</t>
  </si>
  <si>
    <t>수소 및 수소용품 관련 규제사항 체크리스트('25.8, 연구개발특구진흥재단)</t>
  </si>
  <si>
    <t>https://www.innopolis.or.kr/fileDownload?titleId=182136&amp;fileId=1&amp;fileDownType=C¶mMenuId=MENU00318</t>
  </si>
  <si>
    <t>가스신문 - 수소용품 법정검사 어떻게 이뤄지나</t>
  </si>
  <si>
    <t>https://www.gasnews.com/news/articleView.html?idxno=105251</t>
  </si>
  <si>
    <t>에너지신문 - 가스기술기준委, 수소 압력용기 수소 환경 적합성 검증 기준 신설(KGS AC111)</t>
  </si>
  <si>
    <t>https://www.energy-news.co.kr/news/articleView.html?idxno=73987</t>
  </si>
  <si>
    <t>시사위크 - 강릉 수소폭발사고 2년, 어떤 교훈 얻었나</t>
  </si>
  <si>
    <t>경향신문 - 8명 사상 강릉 수소폭발사고 원인, 탱크 내부 산소 유입 추정</t>
  </si>
  <si>
    <t>https://www.khan.co.kr/article/201907041529001</t>
  </si>
  <si>
    <t>Nel ASA - Status update #5 regarding incident at Kjørbo (root cause)</t>
  </si>
  <si>
    <t>H2 View - Norway fines Nel NOK 25m over 2019 Kjørbo explosion</t>
  </si>
  <si>
    <t>https://www.h2-view.com/story/norway-fines-nel-nok-25m-over-2019-kjorbo-hydrogen-station-explosion/2031932.article/</t>
  </si>
  <si>
    <t>NREL/OSTI - Retail Hydrogen Station Reliability Status and Advances</t>
  </si>
  <si>
    <t>NIST - Revised Standardized Equation for Hydrogen Gas Densities (Lemmon, Huber, Leachman 2008)</t>
  </si>
  <si>
    <t>HyResponder - Lecture 2: Hydrogen properties relevant to safety</t>
  </si>
  <si>
    <t>Hydrogen storage and compression (arXiv 1702.06015)</t>
  </si>
  <si>
    <t>EFRC - Review of API 618 6th edition (discharge temperature limits)</t>
  </si>
  <si>
    <t>Overview of diaphragm compressors for hydrogen service: capacity, discharge pressure and operational challenges</t>
  </si>
  <si>
    <t>https://www.sciencedirect.com/science/article/pii/S2352152X25019991</t>
  </si>
  <si>
    <t>A non-destructive fault diagnosis method for a diaphragm compressor in the hydrogen refueling station (AE)</t>
  </si>
  <si>
    <t>https://doi.org/10.1016/j.ijhydene.2019.07.147</t>
  </si>
  <si>
    <t>Diagnosis method to identify diaphragm state based on dynamic oil pressure</t>
  </si>
  <si>
    <t>https://doi.org/10.1016/j.ijhydene.2023.06.214</t>
  </si>
  <si>
    <t>Linde IC90/60 Ionic Compressor datasheet</t>
  </si>
  <si>
    <t>Green Car Congress - Linde next-generation ionic compressor</t>
  </si>
  <si>
    <t>https://www.greencarcongress.com/2014/10/20141006-linde.html</t>
  </si>
  <si>
    <t>Electrochemical hydrogen compressor: Recent progress and challenges</t>
  </si>
  <si>
    <t>https://www.sciencedirect.com/science/article/abs/pii/S0360319922017049</t>
  </si>
  <si>
    <t>Metal hydride hydrogen compressors: A review</t>
  </si>
  <si>
    <t>https://doi.org/10.1016/j.ijhydene.2014.01.158</t>
  </si>
  <si>
    <t>Application of hydrides in hydrogen storage and compression: Achievements, outlook and perspectives</t>
  </si>
  <si>
    <t>https://doi.org/10.1016/j.ijhydene.2019.01.104</t>
  </si>
  <si>
    <t>Recent Trends on the Dehydrogenation Catalysis of LOHC: A Review</t>
  </si>
  <si>
    <t>https://doi.org/10.1007/s11244-021-01452-x</t>
  </si>
  <si>
    <t>DOE - Hydrogen Storage</t>
  </si>
  <si>
    <t>https://www.energy.gov/eere/fuelcells/hydrogen-storage</t>
  </si>
  <si>
    <t>DOE - Liquid Hydrogen Delivery</t>
  </si>
  <si>
    <t>Effects of pressure levels in three-cascade storage system on overall energy consumption in HRS</t>
  </si>
  <si>
    <t>https://www.sciencedirect.com/science/article/abs/pii/S0360319921025544</t>
  </si>
  <si>
    <t>Improvement of MC method in SAE J2601 refuelling protocol (tank temperature limits)</t>
  </si>
  <si>
    <t>https://www.sciencedirect.com/science/article/abs/pii/S2352152X2400001X</t>
  </si>
  <si>
    <t>A Survey on Gas Sensing Technology (catalytic, thermal conductivity principles)</t>
  </si>
  <si>
    <t>https://pmc.ncbi.nlm.nih.gov/articles/PMC3444121/</t>
  </si>
  <si>
    <t>Toward highly sensitive, selective, and stable palladium-based MEMS gas sensors for hydrogen energy security</t>
  </si>
  <si>
    <t>https://onlinelibrary.wiley.com/doi/10.1002/smm2.1303</t>
  </si>
  <si>
    <t>US Patent 5311167 - UV/IR fire detector with dual wavelength sensing IR channel (hydrogen flame)</t>
  </si>
  <si>
    <t>https://image-ppubs.uspto.gov/dirsearch-public/print/downloadPdf/5311167</t>
  </si>
  <si>
    <t>MSA FL500-H2 UV/IR Flame Detector for Hydrogen Applications</t>
  </si>
  <si>
    <t>https://us.msasafety.com/Fixed-Gas-&amp;-Flame-Detection/Flame-Detectors/FL500-H2-UV-IR-Flame-Detector-for-Hydrogen-Applications/p/000014000600011019</t>
  </si>
  <si>
    <t>Understanding and mitigating hydrogen embrittlement of steels: a review</t>
  </si>
  <si>
    <t>https://doi.org/10.1007/s10853-017-1978-5</t>
  </si>
  <si>
    <t>Hydrogen Embrittlement as a Conspicuous Material Challenge - Comprehensive Review (Chem. Rev. 2024)</t>
  </si>
  <si>
    <t>https://doi.org/10.1021/acs.chemrev.3c00624</t>
  </si>
  <si>
    <t>Statistics, lessons learned and recommendations from analysis of HIAD 2.0 database</t>
  </si>
  <si>
    <t>Lessons learned from HIAD 2.0: Inspection and maintenance to avoid hydrogen-induced material failures</t>
  </si>
  <si>
    <t>https://doi.org/10.1016/j.compchemeng.2023.108199</t>
  </si>
  <si>
    <t>From accidents to safer hydrogen systems: failures and safety barriers at HRS in Japan</t>
  </si>
  <si>
    <t>Leakage-type-based analysis of accidents involving hydrogen fueling stations in Japan and USA</t>
  </si>
  <si>
    <t>https://doi.org/10.1016/j.ijhydene.2016.08.060</t>
  </si>
  <si>
    <t>Fault detection for IoT hydrogen refueling station system using combined HMM mixed with Gaussian (Seosan HRS)</t>
  </si>
  <si>
    <t>Automated valve fault detection based on acoustic emission parameters and SVM</t>
  </si>
  <si>
    <t>Fault detection and diagnosis using PCA of vibration data from a reciprocating compressor</t>
  </si>
  <si>
    <t>https://doi.org/10.1109/control.2012.6334674</t>
  </si>
  <si>
    <t>Leak localization using distributed sensors and machine learning for hydrogen releases</t>
  </si>
  <si>
    <t>Three-Year Operational Failure Analysis and Reliability Assessment of an On-Site HRS in Korea</t>
  </si>
  <si>
    <t>https://doi.org/10.1007/s11814-025-00474-5</t>
  </si>
  <si>
    <t>ISO 20816-8 Reciprocating compressor systems vibration</t>
  </si>
  <si>
    <t>https://www.iso.org/standard/75440.html</t>
  </si>
  <si>
    <t>DOE - Comparison of Fuel Cell Technologies</t>
  </si>
  <si>
    <t>DOE - Types of Fuel Cells</t>
  </si>
  <si>
    <t>https://www.energy.gov/eere/fuelcells/types-fuel-cells</t>
  </si>
  <si>
    <t>DOE - Technical Targets for Fuel Cell Systems and Stacks for Transportation Applications</t>
  </si>
  <si>
    <t>DOE - Technical Targets for Polymer Electrolyte Membrane Fuel Cell Components</t>
  </si>
  <si>
    <t>https://www.energy.gov/eere/fuelcells/doe-technical-targets-polymer-electrolyte-membrane-fuel-cell-components</t>
  </si>
  <si>
    <t>DOE - Technical Targets for Stationary CHP Fuel Cell Systems (1차 리서치 참조)</t>
  </si>
  <si>
    <t>IEA AFC TCP - Stationary Fuel Cell Applications 2021 (ene.field 신뢰성, 수명·열화 비교표)</t>
  </si>
  <si>
    <t>전기신문 - 발전용 연료전지, 세계 첫 1GW 돌파했지만 업계 어려움 가중(2024.1)</t>
  </si>
  <si>
    <t>전기신문 - SOFC 시장 쟁탈전(1차 리서치 참조)</t>
  </si>
  <si>
    <t>https://www.electimes.com/news/articleView.html?idxno=371126</t>
  </si>
  <si>
    <t>대한경제 - 발전시장에 뿌리 내리는 수소입찰 제도(2025.8)</t>
  </si>
  <si>
    <t>뉴스핌 - 기후부, 수소발전 입찰시장 개편 나선다…일반수소 930GWh 공급(2026.6)</t>
  </si>
  <si>
    <t>아시아경제 - 청정수소입찰 상한가 올린다…일반수소입찰은 3년 후 재검토(2026.6)</t>
  </si>
  <si>
    <t>뉴스핌 - PAFC만으론 어렵다…두산퓨얼셀, SOFC에 사활(2026.8)</t>
  </si>
  <si>
    <t>가스신문 - 미코파워, 일반수소발전시장 우선협상대상자 선정</t>
  </si>
  <si>
    <t>https://www.gasnews.com/news/articleView.html?idxno=121174</t>
  </si>
  <si>
    <t>전기저널 - 수소발전 입찰시장 운영현황 및 기대효과(KPX 수소시장팀장, 2024.11)</t>
  </si>
  <si>
    <t>전력거래소 - 수소발전 입찰시장 규칙 및 평가 설명회 자료(2023.5)</t>
  </si>
  <si>
    <t>법무법인 세종 - 2025년 청정수소 발전시장 경쟁입찰 공고 뉴스레터</t>
  </si>
  <si>
    <t>https://www.shinkim.com/kor/media/newsletter/2837</t>
  </si>
  <si>
    <t>두산퓨얼셀 - PureCell Model 400 NG</t>
  </si>
  <si>
    <t>https://www.doosanfuelcell.com/en/prod/prod-0101/</t>
  </si>
  <si>
    <t>두산퓨얼셀 - PureCell Model 400 Hydrogen</t>
  </si>
  <si>
    <t>HyAxiom(두산) - PureCell Model 400 460 kW Data Sheet</t>
  </si>
  <si>
    <t>https://www.doosan.com/images/media-center/ces2024/(Data%20Sheet)%20HyAxiom%20PureCell%20Model%20460kW.pdf</t>
  </si>
  <si>
    <t>Bloom Energy - Hydrogen SOFC with 60% Electrical Efficiency and 90% CHP Efficiency (2024.8)</t>
  </si>
  <si>
    <t>https://www.bloomenergy.com/news/bloom-energy-announces-hydrogen-solid-oxide-fuel-cell-with-60-electrical-efficiency-and-90-high-temperature-combined-heat-and-power-efficiency/</t>
  </si>
  <si>
    <t>Bloom Energy Server 5.5 Data Sheet (2023)</t>
  </si>
  <si>
    <t>월간수소경제 - 퓨얼셀에너지 손잡고 발전사업 정상화 나선 경기그린에너지</t>
  </si>
  <si>
    <t>https://www.h2news.kr/news/articleView.html?idxno=12639</t>
  </si>
  <si>
    <t>월간수소경제 - 세계 최대 연료전지 발전소 새 출발(2024.12)</t>
  </si>
  <si>
    <t>경인일보 - 포스코에너지 MCFC 운영사 피해(2021.1)</t>
  </si>
  <si>
    <t>https://www.kyeongin.com/article/1533573</t>
  </si>
  <si>
    <t>CORDIS - HEALTH-CODE (PEMFC EIS-based monitoring &amp; diagnosis) Reporting</t>
  </si>
  <si>
    <t>CORDIS - INSIGHT (SOFC monitoring, diagnostic and lifetime tool) Reporting</t>
  </si>
  <si>
    <t>D'Silva et al. - Generalized fault diagnostics of polymer electrolyte fuel cells using machine learning (iScience 2025)</t>
  </si>
  <si>
    <t>Chandran et al. - Influence of current ramp rate on PEMFC performance (Scientific Reports 2022)</t>
  </si>
  <si>
    <t>Hybrid prognostic method for PEMFC based on AEKF and LSTM (Sensors 2023)</t>
  </si>
  <si>
    <t>https://pmc.ncbi.nlm.nih.gov/articles/PMC9824588/</t>
  </si>
  <si>
    <t>Wu et al. - A Compound Framework for Forecasting the RUL of PEMFC (Electronics 2024, FCLAB PHM 2014 데이터)</t>
  </si>
  <si>
    <t>Randrianarizafy et al. - Modelling Carbon Corrosion during a PEMFC Startup: Simulation of Mitigation Strategies (Energies 2020)</t>
  </si>
  <si>
    <t>Pei et al. - A quick evaluating method for automotive fuel cell lifetime (IJHE 2008)</t>
  </si>
  <si>
    <t>UPC 석사논문 - Automotive PEM fuel cell degradation model (Pei 계수 인용)</t>
  </si>
  <si>
    <t>Anode recirculation and purge strategies for PEM fuel cell operation with diluted hydrogen feed gas (Applied Energy)</t>
  </si>
  <si>
    <t>https://www.sciencedirect.com/science/article/abs/pii/S0306261918315563</t>
  </si>
  <si>
    <t>Fault diagnosis of PEMFC based on the AC voltage response and 1D convolutional neural network (Cell Reports Physical Science 2022)</t>
  </si>
  <si>
    <t>https://www.sciencedirect.com/science/article/pii/S2666386422003460</t>
  </si>
  <si>
    <t>Mechanistic insights into anode gas exchange characterization and carbon corrosion mitigation during PEMFC startup/shutdown (IJHE 2025)</t>
  </si>
  <si>
    <t>https://www.sciencedirect.com/science/article/abs/pii/S0360319925041850</t>
  </si>
  <si>
    <t>FCLAB - IEEE PHM 2014 Data Challenge</t>
  </si>
  <si>
    <t>http://eng.fclab.fr/ieee-phm-2014-data-challenge/</t>
  </si>
  <si>
    <t>Wikipedia - Proton-exchange membrane fuel cell (기초 개념 참고)</t>
  </si>
  <si>
    <t>https://en.wikipedia.org/wiki/Proton-exchange_membrane_fuel_cell</t>
  </si>
  <si>
    <t>전력통계정보시스템 EPSIS (연료원별 발전설비)</t>
  </si>
  <si>
    <t>https://epsis.kpx.or.kr/epsisnew/selectEkpoBftChart.do?menuId=020100</t>
  </si>
  <si>
    <t>SolarPower Europe O&amp;M Best Practices v6 - Data and Monitoring Requirements</t>
  </si>
  <si>
    <t>https://solarbestpractices.com/guidelines/detail/data-and-monitoring-requirements</t>
  </si>
  <si>
    <t>SolarPower Europe O&amp;M Best Practices v6 - Contractual Framework</t>
  </si>
  <si>
    <t>https://solarbestpractices.com/guidelines/detail/contractual-framework</t>
  </si>
  <si>
    <t>SolarPower Europe O&amp;M Best Practices v6 - Key Performance Indicators</t>
  </si>
  <si>
    <t>SolarPower Europe O&amp;M Best Practices v6 - Power Plant Operation</t>
  </si>
  <si>
    <t>https://solarbestpractices.com/guidelines/detail/power-plant-operation</t>
  </si>
  <si>
    <t>SolarPower Europe O&amp;M Best Practices v6 - O&amp;M for Rooftop Solar</t>
  </si>
  <si>
    <t>https://solarbestpractices.com/guidelines/detail/o-m-for-rooftop-solar</t>
  </si>
  <si>
    <t>SMA Developer - API Access Control</t>
  </si>
  <si>
    <t>https://developer.sma.de/api-access-control</t>
  </si>
  <si>
    <t>SMA Developer - API Plans</t>
  </si>
  <si>
    <t>https://developer.sma.de/api-plans</t>
  </si>
  <si>
    <t>SunSpec model 103 JSON (Evt1/EvtVnd)</t>
  </si>
  <si>
    <t>https://raw.githubusercontent.com/sunspec/models/master/json/model_103.json</t>
  </si>
  <si>
    <t>NIST IR 8498 Cybersecurity for Smart Inverters (2024-12)</t>
  </si>
  <si>
    <t>https://nvlpubs.nist.gov/nistpubs/ir/2024/NIST.IR.8498.pdf</t>
  </si>
  <si>
    <t>NIST SP 800-82 Rev.3 Guide to OT Security (2023-09)</t>
  </si>
  <si>
    <t>https://nvlpubs.nist.gov/nistpubs/SpecialPublications/NIST.SP.800-82r3.pdf</t>
  </si>
  <si>
    <t>CISA Primary Mitigations to Reduce Cyber Threats to OT (2025-05)</t>
  </si>
  <si>
    <t>https://www.cisa.gov/resources-tools/resources/primary-mitigations-reduce-cyber-threats-operational-technology</t>
  </si>
  <si>
    <t>ISA/IEC 62443 Series of Standards</t>
  </si>
  <si>
    <t>https://www.isa.org/standards-and-publications/isa-standards/isa-iec-62443-series-of-standards</t>
  </si>
  <si>
    <t>IEC 62443 (Wikipedia: SL1-4, zones &amp; conduits)</t>
  </si>
  <si>
    <t>https://en.wikipedia.org/wiki/IEC_62443</t>
  </si>
  <si>
    <t>IEC 62351 (Wikipedia: parts overview)</t>
  </si>
  <si>
    <t>https://en.wikipedia.org/wiki/IEC_62351</t>
  </si>
  <si>
    <t>Forescout SUN:DOWN Vulnerability Research Report</t>
  </si>
  <si>
    <t>https://www.forescout.com/resources/sun-down-research-report/</t>
  </si>
  <si>
    <t>NREL ATB 2024 Commercial PV</t>
  </si>
  <si>
    <t>https://atb.nlr.gov/electricity/2024/commercial_pv</t>
  </si>
  <si>
    <t>IEA PVPS T13-22:2021 Assessment of Performance Loss Rate</t>
  </si>
  <si>
    <t>EPRI Insights from EPRI's BESS Failure Incident Database (2024)</t>
  </si>
  <si>
    <t>World Bank/ESMAP/SERIS Where Sun Meets Water: Floating Solar Handbook</t>
  </si>
  <si>
    <t>https://documents1.worldbank.org/curated/en/418961572293438109/pdf/Where-Sun-Meets-Water-Floating-Solar-Handbook-for-Practitioners.pdf</t>
  </si>
  <si>
    <t>Bonney et al. 2023, pvOps (JOSS)</t>
  </si>
  <si>
    <t>https://www.theoj.org/joss-papers/joss.05755/10.21105.joss.05755.pdf</t>
  </si>
  <si>
    <t>pvOps documentation (Sandia)</t>
  </si>
  <si>
    <t>ISO 14224 Equipment Taxonomy explained (CPCON)</t>
  </si>
  <si>
    <t>https://cpcongroup.com/insights/article/iso-14224-equipment-taxonomy/</t>
  </si>
  <si>
    <t>전기안전관리법 시행규칙(제26조·제36조)</t>
  </si>
  <si>
    <t>https://casenote.kr/법령/전기안전관리법_시행규칙</t>
  </si>
  <si>
    <t>전기안전관리법(제38조·제40조)</t>
  </si>
  <si>
    <t>https://casenote.kr/법령/전기안전관리법</t>
  </si>
  <si>
    <t>분산에너지 활성화 특별법</t>
  </si>
  <si>
    <t>https://casenote.kr/법령/분산에너지_활성화_특별법</t>
  </si>
  <si>
    <t>산지관리법</t>
  </si>
  <si>
    <t>https://casenote.kr/법령/산지관리법</t>
  </si>
  <si>
    <t>수소경제 육성 및 수소 안전관리에 관한 법률</t>
  </si>
  <si>
    <t>https://casenote.kr/법령/수소경제_육성_및_수소_안전관리에_관한_법률</t>
  </si>
  <si>
    <t>수소법 시행규칙</t>
  </si>
  <si>
    <t>https://casenote.kr/법령/수소경제_육성_및_수소_안전관리에_관한_법률_시행규칙</t>
  </si>
  <si>
    <t>고압가스 안전관리법 시행규칙</t>
  </si>
  <si>
    <t>https://casenote.kr/법령/고압가스_안전관리법_시행규칙</t>
  </si>
  <si>
    <t>산업안전보건법 시행령</t>
  </si>
  <si>
    <t>https://casenote.kr/법령/산업안전보건법_시행령</t>
  </si>
  <si>
    <t>KPX 육지 SMP</t>
  </si>
  <si>
    <t>https://new.kpx.or.kr/smpInland.es?mid=a10606080100&amp;device=pc</t>
  </si>
  <si>
    <t>한전 사이버지점 산업용(을) 요금표</t>
  </si>
  <si>
    <t>https://cyber.kepco.co.kr/ckepco/front/jsp/CY/E/E/CYEEHP00203.jsp</t>
  </si>
  <si>
    <t>Clean Hydrogen JU SRIA KPIs</t>
  </si>
  <si>
    <t>PNNL O&amp;M Best Practices - Maintenance Approaches</t>
  </si>
  <si>
    <t>https://www.pnnl.gov/projects/om-best-practices/maintenance-approaches</t>
  </si>
  <si>
    <t>Thomas &amp; Weiss (NIST) - Maintenance Costs and Advanced Maintenance Techniques in Manufacturing Machinery: Survey and Analysis</t>
  </si>
  <si>
    <t>McKinsey - Manufacturing: Analytics unleashes productivity and profitability</t>
  </si>
  <si>
    <t>NREL/TP-5K00-88769 - Availability and Performance Loss Factors for U.S. PV Fleet Systems (2024)</t>
  </si>
  <si>
    <t>https://www.nrel.gov/docs/fy24osti/88769.pdf</t>
  </si>
  <si>
    <t>NREL/TP-7A40-73822 - Best Practices for O&amp;M of Photovoltaic and Energy Storage Systems, 3rd Edition</t>
  </si>
  <si>
    <t>https://www.nrel.gov/docs/fy19osti/73822.pdf</t>
  </si>
  <si>
    <t>IEA PVPS T13-19:2021 - The Use of Advanced Algorithms in PV Failure Monitoring (Executive Summary)</t>
  </si>
  <si>
    <t>EPRI 2024 White Paper - Insights from EPRI's BESS Failure Incident Database</t>
  </si>
  <si>
    <t>https://www.epri.com/research/products/000000003002030360</t>
  </si>
  <si>
    <t>AVEVA - Duke Energy predictive analytics success story</t>
  </si>
  <si>
    <t>Google DeepMind - Machine learning can boost the value of wind energy (2019)</t>
  </si>
  <si>
    <t>DeepMind - DeepMind AI reduces Google data centre cooling bill by 40% (2016)</t>
  </si>
  <si>
    <t>Gigoni et al. - A Scalable Predictive Maintenance Model for Detecting Wind Turbine Component Failures Based on SCADA Data</t>
  </si>
  <si>
    <t>Liu et al. - Deep Learning-Based Failure Prognostic Model for PV Inverter Using Field Measurements (IEEE TSTE 2024)</t>
  </si>
  <si>
    <t>https://doi.org/10.1109/TSTE.2024.3443234</t>
  </si>
  <si>
    <t>Wu &amp; Keogh - Current Time Series Anomaly Detection Benchmarks are Flawed and are Creating the Illusion of Progress</t>
  </si>
  <si>
    <t>https://arxiv.org/abs/2009.13807</t>
  </si>
  <si>
    <t>Audibert et al. - Do Deep Neural Networks Contribute to Multivariate Time Series Anomaly Detection?</t>
  </si>
  <si>
    <t>Rewicki et al. - Is it worth it? Comparing six deep and classical methods for unsupervised anomaly detection in time series</t>
  </si>
  <si>
    <t>https://arxiv.org/abs/2212.11080</t>
  </si>
  <si>
    <t>Hundman et al. - Detecting Spacecraft Anomalies Using LSTMs and Nonparametric Dynamic Thresholding</t>
  </si>
  <si>
    <t>Malhotra et al. - LSTM-based Encoder-Decoder for Multi-sensor Anomaly Detection</t>
  </si>
  <si>
    <t>https://arxiv.org/abs/1607.00148</t>
  </si>
  <si>
    <t>Liu, Ting, Zhou - Isolation Forest (ICDM 2008)</t>
  </si>
  <si>
    <t>https://doi.org/10.1109/ICDM.2008.17</t>
  </si>
  <si>
    <t>Li et al. - ECOD: Unsupervised Outlier Detection Using Empirical Cumulative Distribution Functions</t>
  </si>
  <si>
    <t>https://arxiv.org/abs/2201.00382</t>
  </si>
  <si>
    <t>Xu et al. - Anomaly Transformer: Time Series Anomaly Detection with Association Discrepancy</t>
  </si>
  <si>
    <t>https://arxiv.org/abs/2110.02642</t>
  </si>
  <si>
    <t>Lundberg &amp; Lee - A Unified Approach to Interpreting Model Predictions (SHAP)</t>
  </si>
  <si>
    <t>https://arxiv.org/abs/1705.07874</t>
  </si>
  <si>
    <t>Saha et al. - Prognostics Methods for Battery Health Monitoring Using a Bayesian Framework (IEEE TIM)</t>
  </si>
  <si>
    <t>https://doi.org/10.1109/TIM.2008.2005965</t>
  </si>
  <si>
    <t>Plett - Extended Kalman filtering for battery management systems of LiPB-based HEV battery packs (J. Power Sources 2004)</t>
  </si>
  <si>
    <t>https://doi.org/10.1016/j.jpowsour.2004.02.032</t>
  </si>
  <si>
    <t>Jouin et al. - Joint Particle Filters Prognostics for PEMFC Power Prediction at Constant Current Solicitation (IEEE Trans. Reliability 2015)</t>
  </si>
  <si>
    <t>https://doi.org/10.1109/TR.2015.2454499</t>
  </si>
  <si>
    <t>Richardson, Osborne, Howey - Gaussian process regression for forecasting battery state of health (J. Power Sources 2017)</t>
  </si>
  <si>
    <t>https://doi.org/10.1016/j.jpowsour.2017.05.004</t>
  </si>
  <si>
    <t>NIST/SEMATECH e-Handbook - Assessing Product Reliability</t>
  </si>
  <si>
    <t>https://www.itl.nist.gov/div898/handbook/apr/apr.htm</t>
  </si>
  <si>
    <t>lifelines - survival analysis in Python</t>
  </si>
  <si>
    <t>https://lifelines.readthedocs.io/en/latest/</t>
  </si>
  <si>
    <t>Brundage et al. - Technical language processing: Unlocking maintenance knowledge (Manufacturing Letters)</t>
  </si>
  <si>
    <t>https://doi.org/10.1016/j.mfglet.2020.11.001</t>
  </si>
  <si>
    <t>NREL PVAnalytics documentation</t>
  </si>
  <si>
    <t>https://pvanalytics.readthedocs.io/en/stable/</t>
  </si>
  <si>
    <t>Sandia Pecos - performance monitoring / data quality framework</t>
  </si>
  <si>
    <t>https://pecos.readthedocs.io/en/latest/</t>
  </si>
  <si>
    <t>Holmgren et al. - pvlib python (JOSS 2018)</t>
  </si>
  <si>
    <t>https://doi.org/10.21105/joss.00884</t>
  </si>
  <si>
    <t>Sulzer et al. - Python Battery Mathematical Modelling (PyBaMM) (JORS 2021)</t>
  </si>
  <si>
    <t>https://doi.org/10.5334/jors.309</t>
  </si>
  <si>
    <t>Saxena et al. - Damage propagation modeling for aircraft engine run-to-failure simulation (C-MAPSS, PHM 2008)</t>
  </si>
  <si>
    <t>https://doi.org/10.1109/PHM.2008.4711414</t>
  </si>
  <si>
    <t>Ansari et al. - Chronos: Learning the Language of Time Series</t>
  </si>
  <si>
    <t>https://arxiv.org/abs/2403.07815</t>
  </si>
  <si>
    <t>Das et al. - A decoder-only foundation model for time-series forecasting (TimesFM)</t>
  </si>
  <si>
    <t>https://arxiv.org/abs/2310.10688</t>
  </si>
  <si>
    <t>Zhou &amp; Yin - An opportunistic condition-based maintenance strategy for offshore wind farm based on predictive analytics (RSER 2019)</t>
  </si>
  <si>
    <t>Cao et al. - Deep Reinforcement Learning-Based Energy Storage Arbitrage With Accurate Lithium-Ion Battery Degradation Model (IEEE TSG 2020)</t>
  </si>
  <si>
    <t>https://doi.org/10.1109/TSG.2020.2986333</t>
  </si>
  <si>
    <t>NASEM - Foundational Research Gaps and Future Directions for Digital Twins</t>
  </si>
  <si>
    <t>https://www.nationalacademies.org/publications/26894</t>
  </si>
  <si>
    <t>Karniadakis et al. - Physics-informed machine learning (Nature Reviews Physics 2021)</t>
  </si>
  <si>
    <t>https://www.nature.com/articles/s42254-021-00314-5</t>
  </si>
  <si>
    <t>Akram et al. - Automatic detection of PV module defects in infrared images with isolated and develop-model transfer deep learning (Solar Energy 2020)</t>
  </si>
  <si>
    <t>Wind Turbine Condition Monitoring Based on Intra- and Inter-Farm Federated Learning (IEEE Access 2025)</t>
  </si>
  <si>
    <t>McMahan et al. - Communication-Efficient Learning of Deep Networks from Decentralized Data (FedAvg)</t>
  </si>
  <si>
    <t>https://arxiv.org/abs/1602.05629</t>
  </si>
  <si>
    <t>Brodersen et al. - Inferring causal impact using Bayesian structural time-series models</t>
  </si>
  <si>
    <t>https://doi.org/10.1214/14-AOAS788</t>
  </si>
  <si>
    <t>Zhang et al. - Dynamic fault detection and diagnosis of industrial alkaline water electrolyzer process with variational Bayesian dictionary learning</t>
  </si>
  <si>
    <t>https://arxiv.org/abs/2404.09524</t>
  </si>
  <si>
    <t>MIMOSA - OSA-CBM (ISO 13374 implementation, six functional blocks)</t>
  </si>
  <si>
    <t>https://www.mimosa.org/mimosa-osa-cbm/</t>
  </si>
  <si>
    <t>KPX Q&amp;A - 재생에너지 발전량 예측제도</t>
  </si>
  <si>
    <t>https://www.kpx.or.kr/board.es?mid=a10504030000&amp;bid=0048&amp;act=view&amp;list_no=71147&amp;tag=&amp;nPage=1</t>
  </si>
  <si>
    <t>공공데이터포털 - 전력거래소 제주 태양광·풍력 제어량 및 제어횟수</t>
  </si>
  <si>
    <t>https://www.data.go.kr/data/15108268/fileData.do</t>
  </si>
  <si>
    <t>기상청 기상자료개방포털</t>
  </si>
  <si>
    <t>https://data.kma.go.kr/</t>
  </si>
  <si>
    <t>KPX 전력통계정보시스템(EPSIS)</t>
  </si>
  <si>
    <t>https://epsis.kpx.or.kr/</t>
  </si>
  <si>
    <t>Are Language Models Actually Useful for Time Series Forecasting? (NeurIPS 2024)</t>
  </si>
  <si>
    <t>Large language models can be zero-shot anomaly detectors for time series? (SigLLM)</t>
  </si>
  <si>
    <t>MIT News - MIT researchers use large language models to flag problems in complex systems (2024-08-14)</t>
  </si>
  <si>
    <t>https://news.mit.edu/2024/researchers-use-large-language-models-to-flag-problems-0814</t>
  </si>
  <si>
    <t>GSM-Symbolic: Understanding the Limitations of Mathematical Reasoning in LLMs (Apple)</t>
  </si>
  <si>
    <t>Faith and Fate: Limits of Transformers on Compositionality</t>
  </si>
  <si>
    <t>https://arxiv.org/abs/2305.18654</t>
  </si>
  <si>
    <t>PAL: Program-aided Language Models</t>
  </si>
  <si>
    <t>Hallucination-Free? Assessing the Reliability of Leading AI Legal Research Tools (Stanford)</t>
  </si>
  <si>
    <t>Enabling Large Language Models to Generate Text with Citations (ALCE, EMNLP 2023)</t>
  </si>
  <si>
    <t>Why Language Models Hallucinate (OpenAI, 2025)</t>
  </si>
  <si>
    <t>EPRI Publishes First Electric Sector Benchmarking Results of Public LLMs (2025-12)</t>
  </si>
  <si>
    <t>EPRI Journal - Benchmarking Large Language Models for the Electric Power Sector (2026-02)</t>
  </si>
  <si>
    <t>https://eprijournal.com/benchmarking-large-language-models-for-the-electric-power-sector/</t>
  </si>
  <si>
    <t>Spider 2.0: Evaluating Language Models on Real-World Enterprise Text-to-SQL Workflows</t>
  </si>
  <si>
    <t>AssetOpsBench: Benchmarking AI Agents for Task Automation in Industrial Asset Operations and Maintenance (IBM)</t>
  </si>
  <si>
    <t>Automatic Root Cause Analysis via Large Language Models for Cloud Incidents (RCACopilot, EuroSys 2024)</t>
  </si>
  <si>
    <t>Recommending Root-Cause and Mitigation Steps for Cloud Incidents using LLMs (ICSE 2023)</t>
  </si>
  <si>
    <t>https://arxiv.org/abs/2301.03797</t>
  </si>
  <si>
    <t>Traceable Fault Diagnosis for Battery Energy Storage Systems via Retrieval-Augmented Multi-Agent O&amp;M Assistant (Midea)</t>
  </si>
  <si>
    <t>A Comparative Benchmark of Large Language Models for Labelling Wind Turbine Maintenance Logs</t>
  </si>
  <si>
    <t>Retrieval-Augmented Generation for Knowledge-Intensive NLP Tasks (Lewis et al., NeurIPS 2020)</t>
  </si>
  <si>
    <t>https://arxiv.org/abs/2005.11401</t>
  </si>
  <si>
    <t>ReAct: Synergizing Reasoning and Acting in Language Models</t>
  </si>
  <si>
    <t>https://arxiv.org/abs/2210.03629</t>
  </si>
  <si>
    <t>Anthropic - Introducing Contextual Retrieval</t>
  </si>
  <si>
    <t>Claude - Introducing Citations on the Anthropic API</t>
  </si>
  <si>
    <t>https://claude.com/blog/introducing-citations-api</t>
  </si>
  <si>
    <t>RAGAS: Automated Evaluation of Retrieval Augmented Generation</t>
  </si>
  <si>
    <t>https://arxiv.org/abs/2309.15217</t>
  </si>
  <si>
    <t>Judging LLM-as-a-Judge with MT-Bench and Chatbot Arena</t>
  </si>
  <si>
    <t>https://arxiv.org/abs/2306.05685</t>
  </si>
  <si>
    <t>Chain-of-Verification Reduces Hallucination in Large Language Models</t>
  </si>
  <si>
    <t>https://arxiv.org/abs/2309.11495</t>
  </si>
  <si>
    <t>Model Context Protocol Specification (2025-06-18)</t>
  </si>
  <si>
    <t>https://modelcontextprotocol.io/specification/2025-06-18</t>
  </si>
  <si>
    <t>OWASP Top 10 for LLM Applications 2025</t>
  </si>
  <si>
    <t>https://genai.owasp.org/llm-top-10/</t>
  </si>
  <si>
    <t>NIST AI 600-1 Artificial Intelligence Risk Management Framework: Generative AI Profile (2024-07)</t>
  </si>
  <si>
    <t>https://nvlpubs.nist.gov/nistpubs/ai/NIST.AI.600-1.pdf</t>
  </si>
  <si>
    <t>Microsoft Learn - Data, privacy, and security for Foundry Models sold by Azure</t>
  </si>
  <si>
    <t>https://learn.microsoft.com/en-us/azure/ai-foundry/responsible-ai/openai/data-privacy</t>
  </si>
  <si>
    <t>AWS - Amazon Bedrock Security and Compliance</t>
  </si>
  <si>
    <t>https://aws.amazon.com/bedrock/security-compliance/</t>
  </si>
  <si>
    <t>Efficient Memory Management for Large Language Model Serving with PagedAttention (vLLM, SOSP 2023)</t>
  </si>
  <si>
    <t>https://arxiv.org/abs/2309.06180</t>
  </si>
  <si>
    <t>Generative AI at Work (Brynjolfsson, Li, Raymond, QJE 2025)</t>
  </si>
  <si>
    <t>https://academic.oup.com/qje/article/140/2/889/7990658</t>
  </si>
  <si>
    <t>Navigating the Jagged Technological Frontier (Dell'Acqua et al., HBS Working Paper 24-013)</t>
  </si>
  <si>
    <t>Siemens expands Industrial Copilot with new generative AI-powered maintenance offering (2025-03)</t>
  </si>
  <si>
    <t>Cognite - Aker BP leverages Cognite Atlas AI to pioneer an AI-first future (2025-09)</t>
  </si>
  <si>
    <t>Iberdrola - Avangrid uses generative AI to support field technicians at its wind farms</t>
  </si>
  <si>
    <t>NIST - Technical Language Processing: Unlocking Maintenance Knowledge (Manufacturing Letters, 2020)</t>
  </si>
  <si>
    <t>https://www.nist.gov/publications/technical-language-processing-unlocking-maintenance-knowledge</t>
  </si>
  <si>
    <t>IEA PVPS - Quantification of Technical Risks in PV Power Systems (Task 13)</t>
  </si>
  <si>
    <t>IEA PVPS T13-23:2021 Quantification of Technical Risks in PV Power Systems (report PDF)</t>
  </si>
  <si>
    <t>https://iea-pvps.org/wp-content/uploads/2021/11/Report-IEA%E2%80%93PVPS-T13-23_2021-Quantification-of-Technical-Risks-in-PV-Power-Systems_final.pdf</t>
  </si>
  <si>
    <t>Allcott (2011) Social norms and energy conservation, Journal of Public Economics</t>
  </si>
  <si>
    <t>EVO - International Performance Measurement and Verification Protocol (IPMVP)</t>
  </si>
  <si>
    <t>https://evo-world.org/en/products-services-mainmenu-en/protocols/ipmvp</t>
  </si>
  <si>
    <t>Alarm Rationalization Explained: ISA-18.2, EEMUA 191 (2차 자료)</t>
  </si>
  <si>
    <t>https://seqent.com/blog/alarm-rationalization-explained/</t>
  </si>
  <si>
    <t>TechCrunch - Samsung bans use of generative AI tools like ChatGPT after April internal data leak (2023-05)</t>
  </si>
  <si>
    <t>https://techcrunch.com/2023/05/02/samsung-bans-use-of-generative-ai-tools-like-chatgpt-after-april-internal-data-leak/</t>
  </si>
  <si>
    <t>인공지능신문 - 한수원, 생성형 AI 플랫폼 뉴로클라우드 포 하이퍼클로바X 도입</t>
  </si>
  <si>
    <t>디지털데일리 - 네이버클라우드, 한수원 특화 AI 플랫폼 구축(원전 특화 LLM)</t>
  </si>
  <si>
    <t>https://www.ddaily.co.kr/page/view/2024121114203783987</t>
  </si>
  <si>
    <t>더페어 - 서부발전, 전력그룹사 최초 설비운영 인공지능 질의응답 서비스 제공(2025-01)</t>
  </si>
  <si>
    <t>한국경제 - 발전소 설비에도 생성형 AI 도입, 서부발전 구축 착수(2024-06)</t>
  </si>
  <si>
    <t>https://www.hankyung.com/article/202406262057Y</t>
  </si>
  <si>
    <t>에너지데일리 - 서부발전, 생성형 AI 위피봇 공개</t>
  </si>
  <si>
    <t>https://www.energydaily.co.kr/news/articleView.html?idxno=200963</t>
  </si>
  <si>
    <t>한국남부발전 - 범용 생성형 AI 챗봇 KEMI</t>
  </si>
  <si>
    <t>https://www.kospo.co.kr/bbs/kospo/95/110016/artclView.do</t>
  </si>
  <si>
    <t>법무법인 세종(신김) - AI 기본법 시행과 그 시사점</t>
  </si>
  <si>
    <t>https://www.shinkim.com/kor/media/newsletter/3114</t>
  </si>
  <si>
    <t>법무법인 화우 - 고영향 AI 판단 가이드라인(안) 공개(2025-09-23)</t>
  </si>
  <si>
    <t>https://www.hwawoo.com/kor/insights/newsletter/13255?currentPage=1</t>
  </si>
  <si>
    <t>전자신문 - 국정원, 챗GPT 등 생성형 AI 보안 가이드라인 배포(2023-06-29)</t>
  </si>
  <si>
    <t>https://www.etnews.com/20230629000228</t>
  </si>
  <si>
    <t>인더스트리뉴스 - 산업부, 태양광 발전설비 원격감시 및 제어 안전기준 마련</t>
  </si>
  <si>
    <t>https://www.industrynews.co.kr/news/articleView.html?idxno=42521</t>
  </si>
  <si>
    <t>[과학 이야기] 재생에너지 시대, 사이버 보안이 과제 - 한승문(한국전기연구원) (2025-06-19)</t>
  </si>
  <si>
    <t>https://v.daum.net/v/20250619192936637?f=p</t>
  </si>
  <si>
    <t>에너지안전신문 - 중국산 80% 장악, 태양광 인버터도 해킹 위협, EU 고위험국산 배제(2026-07-30)</t>
  </si>
  <si>
    <t>https://www.esnews.kr/news/articleView.html?idxno=5332</t>
  </si>
  <si>
    <t>Hugging Face - LGAI-EXAONE/EXAONE-4.0-32B (EXAONE AI Model License 1.2 - NC)</t>
  </si>
  <si>
    <t>https://huggingface.co/LGAI-EXAONE/EXAONE-4.0-32B</t>
  </si>
  <si>
    <t>Hugging Face - skt/A.X-4.0-Light (Apache 2.0)</t>
  </si>
  <si>
    <t>https://huggingface.co/skt/A.X-4.0-Light</t>
  </si>
  <si>
    <t>Hugging Face - naver-hyperclovax/HyperCLOVAX-SEED-Think-32B</t>
  </si>
  <si>
    <t>https://huggingface.co/naver-hyperclovax/HyperCLOVAX-SEED-Think-32B</t>
  </si>
  <si>
    <t>SolarEdge Monitoring Platform</t>
  </si>
  <si>
    <t>https://www.solaredge.com/en/products/software-tools/monitoring-platform</t>
  </si>
  <si>
    <t>Power Factors - Unity Asset Performance Management</t>
  </si>
  <si>
    <t>Power Factors - European Energy partnership (2.4GW)</t>
  </si>
  <si>
    <t>https://www.powerfactors.com/news/european-energy-partners-with-power-factors-to-boost-asset-performance</t>
  </si>
  <si>
    <t>Raptor Maps - Global Solar Report finds $4.6B annual revenue loss (2024)</t>
  </si>
  <si>
    <t>Canary Media - Raptor Maps Global Solar Report 2025 (193GW)</t>
  </si>
  <si>
    <t>https://energy.canarymedia.com/raptor-maps-global-solar-report</t>
  </si>
  <si>
    <t>SolarQuarter - Benchmarking DC Health (Raptor Maps 2025 findings)</t>
  </si>
  <si>
    <t>Zeitview - Solar inspections</t>
  </si>
  <si>
    <t>https://www.zeitview.com/solar</t>
  </si>
  <si>
    <t>ACCURE - Case studies index</t>
  </si>
  <si>
    <t>https://www.accure.net/company/case-studies</t>
  </si>
  <si>
    <t>ACCURE - Gore Street Capital SOC accuracy case</t>
  </si>
  <si>
    <t>ACCURE - SOC corrections (50MWh BESS Europe)</t>
  </si>
  <si>
    <t>ACCURE - Imbalanced racks commissioning case</t>
  </si>
  <si>
    <t>ACCURE - Unplanned downtimes (140MWh BESS Europe)</t>
  </si>
  <si>
    <t>TWAICE - Digital commissioning case study VERBUND</t>
  </si>
  <si>
    <t>https://www.twaice.com/article/digital-commissioning-case-study-verbund</t>
  </si>
  <si>
    <t>Solar Builder - TWAICE informing arbitrage with battery analytics</t>
  </si>
  <si>
    <t>https://solarbuildermag.com/featured/twaice-informing-arbitrage-with-battery-analytics/</t>
  </si>
  <si>
    <t>Utility Dive - Cells and modules not responsible for most BESS failures</t>
  </si>
  <si>
    <t>Fluence - Nispera APM</t>
  </si>
  <si>
    <t>World Wind Technology - ENGIE's Darwin project</t>
  </si>
  <si>
    <t>Clir Renewables - From Data to Decisions (kWh Analytics 인용)</t>
  </si>
  <si>
    <t>https://www.clir.eco/blog/leverage-solar-project-data</t>
  </si>
  <si>
    <t>IEEE Xplore - PV System Reliability: An Operator's Perspective</t>
  </si>
  <si>
    <t>https://ieeexplore.ieee.org/document/6305521/</t>
  </si>
  <si>
    <t>Bloom Energy Form 10-K FY2021 (RMCC)</t>
  </si>
  <si>
    <t>C3 AI and Bloom Energy partnership (2024)</t>
  </si>
  <si>
    <t>Nel Hydrogen - NASOC</t>
  </si>
  <si>
    <t>thyssenkrupp nucera - Digital service excellence blog</t>
  </si>
  <si>
    <t>thyssenkrupp nucera - Alkaline Water Electrolysis</t>
  </si>
  <si>
    <t>https://www.thyssenkrupp-nucera.com/technologies/alkaline-water-electrolysis</t>
  </si>
  <si>
    <t>CORDIS - Haeolus reporting</t>
  </si>
  <si>
    <t>Clean Hydrogen Partnership - Haeolus</t>
  </si>
  <si>
    <t>https://www.clean-hydrogen.europa.eu/projects-dashboard/projects-repository/haeolus_en</t>
  </si>
  <si>
    <t>SINTEF - Haeolus</t>
  </si>
  <si>
    <t>https://www.sintef.no/en/projects/2018/haeolus/</t>
  </si>
  <si>
    <t>Clean Hydrogen Partnership - HEALTH-CODE</t>
  </si>
  <si>
    <t>Clean Hydrogen JU Annual Work Programme 2024 (topic 2024-01-04)</t>
  </si>
  <si>
    <t>Frontiers - Digital Twin concept and architecture for fleets of hydrogen electrolysers (SEGIWA)</t>
  </si>
  <si>
    <t>OSTI - NREL Digital Twin for Hydrogen Dispersion and Safety Assessment</t>
  </si>
  <si>
    <t>REFHYNE - Project progress</t>
  </si>
  <si>
    <t>https://www.refhyne.eu/project-progress/</t>
  </si>
  <si>
    <t>일렉트릭파워 - 동서발전, 드론 활용해 태양광 출력 6.6% 향상</t>
  </si>
  <si>
    <t>전기신문 - 동서발전, 발전사 최초 드론으로 태양광 열화상 진단</t>
  </si>
  <si>
    <t>https://www.electimes.com/news/articleView.html?idxno=186232</t>
  </si>
  <si>
    <t>한국경제 - 한국중부발전, AI로 태양광 발전량 99%까지 예측</t>
  </si>
  <si>
    <t>솔라투데이 - 제이케이코어 AI 기반 태양광발전소 디지털 O&amp;M 시스템 혁신제품 지정</t>
  </si>
  <si>
    <t>https://www.solartodaymag.com/news/articleView.html?idxno=20404</t>
  </si>
  <si>
    <t>정보통신신문 - 태양광발전소 고장진단, AI가 한다(에너지기술연구원)</t>
  </si>
  <si>
    <t>인사이트에너지뉴스 - 원광에스앤티 AI 태양광설비 수명예측 기술 사업화</t>
  </si>
  <si>
    <t>https://www.inenews.kr/news/articleView.html?idxno=15736</t>
  </si>
  <si>
    <t>전기신문 - 서부발전 WISE 프로젝트</t>
  </si>
  <si>
    <t>이넷뉴스 - 엔비로테크, 서부발전 발전데이터 지원사업 선정</t>
  </si>
  <si>
    <t>https://www.enetnews.co.kr/news/articleView.html?idxno=53099</t>
  </si>
  <si>
    <t>전기신문 - 한국전기안전공사 ESS 온라인 무정전 정기검사 인터뷰</t>
  </si>
  <si>
    <t>한국에너지공단 신재생에너지센터 - REMS 관리센터 오픈 보도자료</t>
  </si>
  <si>
    <t>https://www.knrec.or.kr/biz/pds/news/view.do?no=19</t>
  </si>
  <si>
    <t>인더스트리뉴스 - 에너지공단, 빅데이터 활용 맞춤형 신재생 보급정책(REMS 2.1만 개소)</t>
  </si>
  <si>
    <t>인더스트리뉴스 - 해줌, 태양광 발전량 예측 앱 '내일의발전' 출시</t>
  </si>
  <si>
    <t>https://www.industrynews.co.kr/news/articleView.html?idxno=44127</t>
  </si>
  <si>
    <t>인더스트리뉴스 - 이엘티 ESS 연계 스마트 통합관제시스템</t>
  </si>
  <si>
    <t>https://www.industrynews.co.kr/news/articleView.html?idxno=42525</t>
  </si>
  <si>
    <t>에너지데일리 - 아이티공간, 배터리 화재 선제 예방</t>
  </si>
  <si>
    <t>RnDCircle - AI 학습기반 태양광 발전량 예측 고도화 O&amp;M 플랫폼 기술개발과 실증(KETEP 2026)</t>
  </si>
  <si>
    <t>ScienceON - AI 기반 발전량 예측 및 고장 진단 태양광 지능형 엣지 디바이스 개발 보고서</t>
  </si>
  <si>
    <t>https://scienceon.kisti.re.kr/srch/selectPORSrchReport.do?cn=TRKO202400004700</t>
  </si>
  <si>
    <t>다음(중앙일보) - 한수원 AI로 원자력발전소 안전성·운영 효율 높여</t>
  </si>
  <si>
    <t>두산퓨얼셀 - 회사소개 활약상(설치 현황)</t>
  </si>
  <si>
    <t>월간수소경제 - SOFC로 신시장 개척하는 블룸SK퓨얼셀</t>
  </si>
  <si>
    <t>https://h2news.kr/news/article.html?no=8174</t>
  </si>
  <si>
    <t>월간수소경제 - 최적 그린수소 테스트베드 제주</t>
  </si>
  <si>
    <t>한국가스공사 - 제주 1MW PEM 활용 그린수소 생산 성공</t>
  </si>
  <si>
    <t>https://www.kogas.or.kr/site/koGas/bbs/View.do?cbIdx=41&amp;boardIdx=45995&amp;Key=1010202000000</t>
  </si>
  <si>
    <t>아주경제 - 정부, 50~100MW급 그린수소 생산 실증 추진</t>
  </si>
  <si>
    <t>산업통상자원부 - 수소 안전관리 로드맵 2.0(2023.5, 법무법인 세종 배포본)</t>
  </si>
  <si>
    <t>가평 P&amp;ID·부산물 산소</t>
  </si>
  <si>
    <t>Panchawadkar, D. — Review of Opportunities to Valorise the Oxygen Generated from Water Electrolysis (KTH 석사논문, 2024)</t>
  </si>
  <si>
    <t>http://www.diva-portal.org/smash/get/diva2:1901182/FULLTEXT01.pdf</t>
  </si>
  <si>
    <t>NexantECA — Making money out of thin air: Valorizing the oxygen byproduct of green hydrogen production</t>
  </si>
  <si>
    <t>https://www.nexanteca.com/blog/making-money-out-thin-air-valorizing-oxygen-byproduct-green-hydrogen-production</t>
  </si>
  <si>
    <t>IRENA — Sale of electrolysis by-products (oxygen and heat), Innovation Landscape for Smart Electrification</t>
  </si>
  <si>
    <t>https://www.irena.org/Innovation-landscape-for-smart-electrification/Power-to-hydrogen/30-Sale-of-electrolysis-by-products-oxygen-and-heat</t>
  </si>
  <si>
    <t>EIGA Doc 04/26 — Fire Hazards of Oxygen and Oxygen-Enriched Atmospheres</t>
  </si>
  <si>
    <t>https://www.eiga.eu/uploads/documents/DOC004.pdf</t>
  </si>
  <si>
    <t>AIGA 021/20 — Oxygen Pipeline and Piping Systems (EIGA Doc 13/20 · CGA G-4.4 국제공통본)</t>
  </si>
  <si>
    <t>https://asiaiga.org/uploaded_docs/en_AIGA_21_20_Oxygen_Pipeline_and_Piping_Systems.pdf</t>
  </si>
  <si>
    <t>고압가스 안전관리법 시행규칙 [별표 4] — 고압가스 제조의 시설·기술·검사·감리 및 정밀안전검진 기준</t>
  </si>
  <si>
    <t>https://www.law.go.kr/LSW/flDownload.do?flSeq=51958249</t>
  </si>
  <si>
    <t>고압가스 안전관리법 시행규칙 [별표 1] — 저장능력 산정기준</t>
  </si>
  <si>
    <t>https://www.law.go.kr/LSW//flDownload.do?gubun=&amp;flSeq=116031027&amp;bylClsCd=110201</t>
  </si>
  <si>
    <t>고압가스 안전관리법 시행규칙 제2조 (정의) — 국가법령정보센터</t>
  </si>
  <si>
    <t>https://www.law.go.kr/LSW/lsInfoP.do?urlMode=lsInfoP&amp;lsId=006285</t>
  </si>
  <si>
    <t>산업안전보건기준에 관한 규칙 제618조 (정의)</t>
  </si>
  <si>
    <t>https://www.law.go.kr/%EB%B2%95%EB%A0%B9/%EC%82%B0%EC%97%85%EC%95%88%EC%A0%84%EB%B3%B4%EA%B1%B4%EA%B8%B0%EC%A4%80%EC%97%90%EA%B4%80%ED%95%9C%EA%B7%9C%EC%B9%99/%EC%A0%9C618%EC%A1%B0</t>
  </si>
  <si>
    <t>물가자료 2024년 1월호 — 가스(공업실험용) 가격표 (조사기간 2023.12.1~12.10)</t>
  </si>
  <si>
    <t>https://files-scs.pstatic.net/2024/01/19/u5Kz1gEmxH/%EC%82%B0%EC%86%8C.pdf</t>
  </si>
  <si>
    <t>가스신문 — [초점] 용기에 충전된 산소·질소가격 어느 정도가 적정한가 (2024.1.8)</t>
  </si>
  <si>
    <t>https://www.gasnews.com/news/articleView.html?idxno=113645</t>
  </si>
  <si>
    <t>가평 2MW 청정수소발전 시스템 P&amp;ID — FCND-GP-PID-002 REV.2 (2026-07-17)</t>
  </si>
  <si>
    <t>internal://drawing/FCND-GP-PID-002-REV2</t>
  </si>
  <si>
    <t>Sungrow — PEM Water Electrolysis Equipment 데이터시트 (DS_20250226)</t>
  </si>
  <si>
    <t>https://info-support.sungrowpower.com/application/pdf/2025/02/28/DS_20250226_PEM%20Electrolyzer_Datasheet_EN.pdf</t>
  </si>
  <si>
    <t>가스신문 — [분석] 식품용산소와 의료용산소, 무엇이 어떻게 다른가</t>
  </si>
  <si>
    <t>http://www.gasnews.com/news/articleView.html?idxno=95397</t>
  </si>
  <si>
    <t>peacesoftware — Online calculation: properties of oxygen / Engineering ToolBox — Oxygen density vs temperature and pressure</t>
  </si>
  <si>
    <t>https://www.peacesoftware.de/einigewerte/o2_e.html</t>
  </si>
  <si>
    <t>온라인가스저널 — [진단] 산업용가스 유통가격 현황 (2010.3.4)</t>
  </si>
  <si>
    <t>https://www.igasnet.com/news/articleView.html?idxno=5121</t>
  </si>
  <si>
    <t>Utilizing oxygen from green hydrogen production in wastewater treatment plant aeration: A techno-economic analysis (ScienceDirect, 2025)</t>
  </si>
  <si>
    <t>https://www.sciencedirect.com/science/article/pii/S2666792425000484</t>
  </si>
  <si>
    <t>Process Sensing Technologies — Paramagnetic oxygen analyzer / electrolyser gas analysis (XPM601, XHE601)</t>
  </si>
  <si>
    <t>https://www.processsensing.com/en-us/products/paramagnetic-oxygen-analyzer-XPM601.htm</t>
  </si>
  <si>
    <t>가스신문 — [2023년 가스기술사 제언] 특정고압가스 신고대상은 몇 병인가</t>
  </si>
  <si>
    <t>https://www.gasnews.com/news/articleView.html?idxno=110558</t>
  </si>
  <si>
    <t>가스신문 — [기고] 부생 수소 현황과 활용</t>
  </si>
  <si>
    <t>http://www.gasnews.com/news/articleView.html?idxno=73661</t>
  </si>
  <si>
    <t>가스신문 — 물분무장치 설치하면 저장탱크간 이격거리 적용 제외</t>
  </si>
  <si>
    <t>https://www.gasnews.com/news/articleView.html?idxno=115366</t>
  </si>
  <si>
    <t>가평 P&amp;ID·폐열회수</t>
  </si>
  <si>
    <t>DOE — Technical Targets for Proton Exchange Membrane Electrolysis</t>
  </si>
  <si>
    <t>van der Roest 외, Utilisation of waste heat from PEM electrolysers — Unlocking local optimisation, Int. J. Hydrogen Energy (2023), DOI 10.1016/j.ijhydene.2023.03.374</t>
  </si>
  <si>
    <t>https://research.tudelft.nl/en/publications/utilisation-of-waste-heat-from-pem-electrolysers-unlocking-local-</t>
  </si>
  <si>
    <t>Derez, Hoogsteyn, Delarue (KU Leuven), Optimisation of Electrolyser Operation: Integrating External Heat, arXiv:2507.06796 (2025-07-09)</t>
  </si>
  <si>
    <t>https://arxiv.org/html/2507.06796v1</t>
  </si>
  <si>
    <t>Ballard FCwave 제품 데이터시트 (2024-10-08)</t>
  </si>
  <si>
    <t>https://www.ballard.com/wp-content/uploads/2024/11/FCwave_20241008.pdf</t>
  </si>
  <si>
    <t>Ballard FCgen-LCS 스택 사양 요약 (secondwatt)</t>
  </si>
  <si>
    <t>https://secondwatt.com/equipment/fuel-cells/ballard-power-systems-fcgen-lcs</t>
  </si>
  <si>
    <t>두산퓨얼셀 PureCell Model 400 Hydrogen</t>
  </si>
  <si>
    <t>https://www.doosanfuelcell.com/kr/prod/prod-0102/</t>
  </si>
  <si>
    <t>적산열량계 기술기준 (산업통상자원부고시, 2018.06.07 타법개정)</t>
  </si>
  <si>
    <t>https://www.ulex.co.kr/%EB%B2%95%EB%A5%A0/2100000009614-2048906-%EC%A0%81%EC%82%B0</t>
  </si>
  <si>
    <t>MID Class 2 &amp; EN 1434 Heat Meters (zpmeter 해설)</t>
  </si>
  <si>
    <t>https://www.zpmeter.com/blog/which-heat-meters-meet-centralized-heating-acceptance-standards</t>
  </si>
  <si>
    <t>Alfa Laval — Plate Heat Exchanger Calculation Method</t>
  </si>
  <si>
    <t>https://www.alfalaval.co.uk/products/heat-transfer/plate-heat-exchangers/gasketed-plate-and-frame-heat-exchangers/calculation-method/</t>
  </si>
  <si>
    <t>아파트관리신문 — 지역난방 운영관리 / 열교환기 유지관리 (4·끝)</t>
  </si>
  <si>
    <t>https://www.aptn.co.kr/news/articleView.html?idxno=11977</t>
  </si>
  <si>
    <t>Advancements and prospects of thermal management and waste heat recovery of PEMFC, Energy Conversion and Management: X (2021)</t>
  </si>
  <si>
    <t>https://www.sciencedirect.com/science/article/pii/S2666202721000021</t>
  </si>
  <si>
    <t>Shimadzu — Process Monitoring of PEM H₂ Electrolysis Feed Water (TOC-1000e)</t>
  </si>
  <si>
    <t>https://www.shimadzu.com/an/sites/shimadzu.com.an/files/pim/pim_document_file/applications/application_note/25054/an_05-sca-130-612-en.pdf</t>
  </si>
  <si>
    <t>NREL — Performance Losses and Current-Driven Recovery in PEM Electrolyzers (FY24, NREL/TP-5900-89676)</t>
  </si>
  <si>
    <t>https://docs.nrel.gov/docs/fy24osti/89676.pdf</t>
  </si>
  <si>
    <t>Data-Driven Fouling Detection in Refinery Preheat Train Heat Exchangers Using Neural Networks and Gradient Boosting, Sensors 25(16):4936 (2025), DOI 10.3390/s25164936</t>
  </si>
  <si>
    <t>https://doi.org/10.3390/s25164936</t>
  </si>
  <si>
    <t>Temperature optimization for improving polymer electrolyte membrane-water electrolysis system efficiency, Applied Energy (2021)</t>
  </si>
  <si>
    <t>https://www.sciencedirect.com/science/article/pii/S0306261920316603</t>
  </si>
  <si>
    <t>Plate Heat Exchanger Fouling Factor Calculation Methods (Industrial Monitor Direct)</t>
  </si>
  <si>
    <t>https://industrialmonitordirect.com/blogs/knowledgebase/plate-heat-exchanger-fouling-factor-calculation-methods</t>
  </si>
  <si>
    <t>Plate Heat Exchanger Pressure Drop: Formula &amp; Calculation Guide (Industrial Monitor Direct)</t>
  </si>
  <si>
    <t>https://industrialmonitordirect.com/blogs/knowledgebase/plate-heat-exchanger-pressure-drop-formula-and-flow-calculation</t>
  </si>
  <si>
    <t>Double Wall Heat Exchanger Safeguards / Code (Eng-Tips 토론, IPC 608.16.3 인용)</t>
  </si>
  <si>
    <t>https://www.eng-tips.com/threads/double-wall-heat-exchanger-safeguards-code.389705/</t>
  </si>
  <si>
    <t>SilcoTek — Preventing Metal Ion Leaching in DI Water</t>
  </si>
  <si>
    <t>https://www.silcotek.com/blog/preventing-metal-ion-leaching-in-di-water</t>
  </si>
  <si>
    <t>헬로디디 — 버려지는 폐온수 재활용해 냉방에 활용</t>
  </si>
  <si>
    <t>https://www.hellodd.com/news/articleView.html?idxno=64967</t>
  </si>
  <si>
    <t>Nel Hydrogen FAQ</t>
  </si>
  <si>
    <t>https://nelhydrogen.com/faq/</t>
  </si>
  <si>
    <t>Low-temperature water electrolysis: fundamentals, progress, and new strategies, Materials Advances (RSC, 2022), DOI 10.1039/D2MA00185C</t>
  </si>
  <si>
    <t>https://pubs.rsc.org/en/content/articlehtml/2022/ma/d2ma00185c</t>
  </si>
  <si>
    <t>SWEP — Brazed plate heat exchanger cleaning in place (CIP)</t>
  </si>
  <si>
    <t>https://www.swepgroup.com/product/brazed-plate-heat-exchanger/cleaning-in-place</t>
  </si>
  <si>
    <t>열사용시설기준 (위례에너지서비스 배포본, 2017.8.1 시행)</t>
  </si>
  <si>
    <t>https://www.skens.com/download/wirye/wirye_steam2.pdf</t>
  </si>
  <si>
    <t>가평 P&amp;ID·수처리</t>
  </si>
  <si>
    <t>ASTM D1193-06(2018) Standard Specification for Reagent Water</t>
  </si>
  <si>
    <t>https://www.astm.org/Standards/D1193.htm</t>
  </si>
  <si>
    <t>Puretec Industrial Water — High Purity Water Quality Standards</t>
  </si>
  <si>
    <t>https://puretecwater.com/resources/high-purity-water-quality-standards/</t>
  </si>
  <si>
    <t>ISO 3696:1987 Water for analytical laboratory use</t>
  </si>
  <si>
    <t>https://www.iso.org/standard/9169.html</t>
  </si>
  <si>
    <t>Nel Hydrogen — FAQ (급수 수질 요구)</t>
  </si>
  <si>
    <t>Cummins HyLYZER-1000 PEM 전해조 사양서 (Bulletin 5676518, 2021-06)</t>
  </si>
  <si>
    <t>https://www.cummins.com/sites/default/files/2021-08/cummins-hylyzer-1000-specsheet.pdf</t>
  </si>
  <si>
    <t>US DOE Program Record 25003 — Water Use in Hydrogen Production (2026-05-14)</t>
  </si>
  <si>
    <t>https://www.energy.gov/documents/record-25003-water-use-hydrogen-production</t>
  </si>
  <si>
    <t>IRENA &amp; Bluerisk — Water for hydrogen production (2023-12)</t>
  </si>
  <si>
    <t>https://www.irena.org/-/media/Files/IRENA/Agency/Publication/2023/Dec/IRENA_Bluerisk_Water_for_hydrogen_production_2023.pdf</t>
  </si>
  <si>
    <t>JRC 122565 — EU harmonised protocols for testing of low temperature water electrolysers</t>
  </si>
  <si>
    <t>https://publications.jrc.ec.europa.eu/repository/bitstream/JRC122565/jrc122565_ltwe_harmonisation_online_identifier_4.pdf</t>
  </si>
  <si>
    <t>EUROWATER(Grundfos) — Keeping the water inside electrolyzers ultrapure</t>
  </si>
  <si>
    <t>https://www.eurowater.com/Files/Files/eurowater/Country/International/Leaflets/WhitePaper-RefinementLoop-UPW-Hydrogen-EUROWATER.pdf</t>
  </si>
  <si>
    <t>한국동서발전 — 동해 수전해 기반 수소 생산기지 구축사업 초순수 설비 구매규격서 (Doc 77001-10001-UM-487-002 Rev.A, 2025-04-11, 나라장터)</t>
  </si>
  <si>
    <t>https://www.g2b.go.kr/pn/pnp/pnpe/UntyAtchFile/downloadFile.do?bidPbancNo=R25BK00760746&amp;bidPbancOrd=000&amp;fileType=&amp;fileSeq=8</t>
  </si>
  <si>
    <t>KGS AH271 (2025) 수전해설비 제조의 시설·기술·검사 기준</t>
  </si>
  <si>
    <t>Water Technology Online — Membrane Cleaning Fundamentals: Cleaning Criteria and Normalization of Reverse Osmosis Systems</t>
  </si>
  <si>
    <t>https://www.watertechonline.com/home/article/14171904/membrane-cleaning-fundamentals-cleaning-criteria-and-normalization-of-reverse-osmosis-systems</t>
  </si>
  <si>
    <t>ASTM D4516-19a Standard Practice for Standardizing Reverse Osmosis Performance Data</t>
  </si>
  <si>
    <t>https://www.astm.org/Standards/D4516.htm</t>
  </si>
  <si>
    <t>Thermo Scientific — Measuring the Conductivity of Pure Water Using USP&lt;645&gt; Recommended Equipment</t>
  </si>
  <si>
    <t>https://documents.thermofisher.com/TFS-Assets/LSG/Application-Notes/AN-PUREWATER-E%20RevA-HIGHRES.pdf</t>
  </si>
  <si>
    <t>노고산 외, 제주도 MW급 저온 수전해 수소 생산 시스템의 그린수소 생산 능력 및 경제성 분석, 한국수소및신에너지학회 논문집 35(1), 2024</t>
  </si>
  <si>
    <t>https://journal.hydrogen.or.kr/xml/36989/36989.pdf</t>
  </si>
  <si>
    <t>Veolia — Ion Exchange &amp; Water Demineralization Handbook, Chapter 8</t>
  </si>
  <si>
    <t>https://www.watertechnologies.com/handbook/chapter-08-ion-exchange</t>
  </si>
  <si>
    <t>Genesis Water Technologies — Optimizing Silica Fouling Control in Reverse Osmosis Systems</t>
  </si>
  <si>
    <t>https://genesiswatertech.com/blog-post/optimizing-silica-fouling-control-in-reverse-osmosis-systems/</t>
  </si>
  <si>
    <t>EUROWATER — Electrodeionization (EDI) 제품 설명</t>
  </si>
  <si>
    <t>https://www.eurowater.com/en/water-treatment-plants/electrodeionization</t>
  </si>
  <si>
    <t>Atlas Scientific — Conductivity Temperature Compensation</t>
  </si>
  <si>
    <t>https://atlas-scientific.com/blog/conductivity-temperature-compensation</t>
  </si>
  <si>
    <t>JRC 133726 / Clean Hydrogen Partnership — EU harmonised accelerated stress testing protocols for LTWE stacks</t>
  </si>
  <si>
    <t>https://publications.jrc.ec.europa.eu/repository/handle/JRC133726</t>
  </si>
  <si>
    <t>MECO — Maintaining Ultrapure Water Quality: Strategies for Storage &amp; Distribution</t>
  </si>
  <si>
    <t>https://www.meco.com/maintain-ultrapure-water-storage-distribution/</t>
  </si>
  <si>
    <t>가평 P&amp;ID·감압·버퍼</t>
  </si>
  <si>
    <t>Prevent creep in regulators — Swagelok</t>
  </si>
  <si>
    <t>https://bangalore.swagelok.com/en/knowledge/pressure-regulators/prevent-creep-in-regulators</t>
  </si>
  <si>
    <t>Troubleshooting common pressure regulator issues — Swagelok</t>
  </si>
  <si>
    <t>https://www.swagelok.com/en/blog/troubleshoot-common-regulator-problems</t>
  </si>
  <si>
    <t>TESCOM Technical Training — Pressure Regulators Explained (Ver 1.1, Iain Johnston)</t>
  </si>
  <si>
    <t>https://www.analyzedetectnetwork.com/manuals/r67iwoJ4WL.pdf</t>
  </si>
  <si>
    <t>Stabilizing Pressure Regulator Performance — Emerson Automation Experts</t>
  </si>
  <si>
    <t>https://www.emersonautomationexperts.com/2018/valves-actuators-regulators/stabilizing-pressure-regulator-performance/</t>
  </si>
  <si>
    <t>Hydrogen Gas Regulator Failure — H2tools Lessons Learned (PNNL/DOE)</t>
  </si>
  <si>
    <t>https://h2tools.org/lessons/hydrogen-gas-regulator-failure</t>
  </si>
  <si>
    <t>NIST Chemistry WebBook — Hydrogen thermophysical properties (isotherm 293.15 K)</t>
  </si>
  <si>
    <t>https://webbook.nist.gov/cgi/fluid.cgi?ID=C1333740&amp;Action=Page</t>
  </si>
  <si>
    <t>Validation and Comparison of HyRAM Physics Models (OSTI 1813659) — Sandia National Laboratories</t>
  </si>
  <si>
    <t>https://www.osti.gov/servlets/purl/1813659</t>
  </si>
  <si>
    <t>HyRAM 1.0 Technical Reference Manual (SAND2015-10216) — Sandia / h2tools</t>
  </si>
  <si>
    <t>https://h2tools.org/sites/default/files/SAND2015-10216-HyRAM-1.0-Technical-Reference-Manual.pdf</t>
  </si>
  <si>
    <t>KGS FU671 (2025) 수소연료사용시설의 시설·기술·검사 기준 — 한국가스안전공사</t>
  </si>
  <si>
    <t>Gas Pressure Regulator HON 402 brochure — Honeywell</t>
  </si>
  <si>
    <t>https://prod-edam.honeywell.com/content/dam/honeywell-edam/pmt/hps/products/pmc/gas/regulators---safety-accessories/high-pressure-regulators-up-to-pn40-(ansi-300)/hon-402/hon-402-brochure.pdf</t>
  </si>
  <si>
    <t>EN 334:2019 Gas pressure regulators for inlet pressure up to 10 MPa (100 bar) — CEN</t>
  </si>
  <si>
    <t>https://standards.iteh.ai/catalog/standards/cen/d691abb9-4f05-418d-b188-1cb480e4225c/en-334-2019</t>
  </si>
  <si>
    <t>Rosemount 3051 Pressure Transmitter Product Data Sheet — Emerson</t>
  </si>
  <si>
    <t>https://ipscustom.com/specs/rosemount/Pressure/3051_PDS_RevHA.pdf</t>
  </si>
  <si>
    <t>Valve Leakage — API 598 / ANSI FCI 70-2 / MSS-SP-61 / ISO 5208 — wermac.org</t>
  </si>
  <si>
    <t>https://www.wermac.org/valves/valve_leakage.html</t>
  </si>
  <si>
    <t>API Standard 527 — Seat Tightness of Pressure Relief Valves</t>
  </si>
  <si>
    <t>https://www.api.org/~/media/files/publications/whats%20new/527_e4%20pa.pdf</t>
  </si>
  <si>
    <t>Retail Hydrogen Station Reliability Status and Advances (OSTI 1603259) — NREL</t>
  </si>
  <si>
    <t>도시가스 정압기 분해점검 주기 (Q&amp;A) — 가스신문</t>
  </si>
  <si>
    <t>https://www.gasnews.com/bbs/view.html?idxno=60133</t>
  </si>
  <si>
    <t>Comparative Experimental Assessment of Elastomeric and Thermoplastic Sealing Materials in Valve Sealing Under Cyclic High-Pressure Hydrogen Exposure — PMC</t>
  </si>
  <si>
    <t>https://pmc.ncbi.nlm.nih.gov/articles/PMC13074313/</t>
  </si>
  <si>
    <t>How do you select the right pressure regulator material for hydrogen service? — Pressure Control Solutions</t>
  </si>
  <si>
    <t>https://www.pressurecontrolsolutions.com/blogs/how-do-you-select-the-right-pressure-regulator-material-for-hydrogen-service/</t>
  </si>
  <si>
    <t>Rethinking Gas Leak Detection with Ultrasonic Technology — MSA Safety</t>
  </si>
  <si>
    <t>https://blog.msasafety.com/fgfd-rethinking-gas-leak-detection-with-ultrasonic-technology/</t>
  </si>
  <si>
    <t>Technical Reference on Hydrogen Compatibility of Materials — Austenitic Stainless Steels: Type 316 (code 2103) — Sandia National Laboratories</t>
  </si>
  <si>
    <t>https://www.sandia.gov/app/uploads/sites/158/2021/12/2103TechRef_316SS.pdf</t>
  </si>
  <si>
    <t>가평 P&amp;ID·외부 반입</t>
  </si>
  <si>
    <t>'수소가격 인하 마중물' 450bar 튜브트레일러, 드디어 달린다 (월간수소경제)</t>
  </si>
  <si>
    <t>https://www.h2news.kr/news/articleView.html?idxno=12352</t>
  </si>
  <si>
    <t>액화수소 대항마 '타입4 튜브트레일러' 각광 (전기신문)</t>
  </si>
  <si>
    <t>https://www.electimes.com/news/articleView.html?idxno=221102</t>
  </si>
  <si>
    <t>[기획] 국내 수소튜브트레일러 산업 현황&amp;전망 (투데이에너지)</t>
  </si>
  <si>
    <t>https://www.todayenergy.kr/news/articleView.html?idxno=244561</t>
  </si>
  <si>
    <t>수소 트레일러, 폭발 대신 '안전'을 싣는다 (에너지신문)</t>
  </si>
  <si>
    <t>https://www.energy-news.co.kr/news/articleView.html?idxno=212859</t>
  </si>
  <si>
    <t>Hydrogen Tube Trailers (US DOE EERE)</t>
  </si>
  <si>
    <t>https://www.energy.gov/eere/fuelcells/hydrogen-tube-trailers</t>
  </si>
  <si>
    <t>Hydrogen Tube Trailers: Types, Capacity, Pressure &amp; Selection Guide (Rein Hytec)</t>
  </si>
  <si>
    <t>https://www.rein-hytec.com/market-trends/what-is-a-hydrogen-tube-trailer</t>
  </si>
  <si>
    <t>EIGA TB 51/24 — Hydrogen Interface for Trailer to Hydrogen Refueling Station</t>
  </si>
  <si>
    <t>https://www.eiga.eu/uploads/documents/TB051.pdf</t>
  </si>
  <si>
    <t>AIGA 126/24 — Standard Procedures for Hydrogen Supply Systems</t>
  </si>
  <si>
    <t>https://www.asiaiga.org/uploaded_docs/en_AIGA_126_24_Guide_for_H2_Supply_Systems.pdf</t>
  </si>
  <si>
    <t>Hydrogen Station Fact Sheet (H2FCP)</t>
  </si>
  <si>
    <t>https://h2fcp.org/sites/default/files/Stations-Fact-sheet3_0.pdf</t>
  </si>
  <si>
    <t>수소유통정보시스템 — 판매가격 보고 및 공개 제도 안내</t>
  </si>
  <si>
    <t>https://www.h2nbiz.or.kr/rt/uif/inf/infoSalePrice.do</t>
  </si>
  <si>
    <t>수소유통정보시스템 — 가격정보</t>
  </si>
  <si>
    <t>https://www.h2nbiz.or.kr/rt/sts/pce/rtAmountInfo.do</t>
  </si>
  <si>
    <t>수송용 수소 충전소 공급가격 조정 (한국가스공사 보도자료)</t>
  </si>
  <si>
    <t>https://www.kogas.or.kr/site/koGas/bbs/View.do?cbIdx=41&amp;Key=1010202000000&amp;boardIdx=44570</t>
  </si>
  <si>
    <t>수도권에 대규모 수소 공급...액화수소가 효율적이다 (뉴스톱)</t>
  </si>
  <si>
    <t>http://www.newstof.com/news/articleView.html?idxno=1553</t>
  </si>
  <si>
    <t>수소 유량 현장 교정 시스템 개발 (계장기술 기획특집)</t>
  </si>
  <si>
    <t>http://www.procon.co.kr/bbs/board.php?bo_table=magazine_new&amp;wr_id=1036</t>
  </si>
  <si>
    <t>국가기술표준원 — 법정계량기 관리</t>
  </si>
  <si>
    <t>https://www.kats.go.kr/content.do?cmsid=73</t>
  </si>
  <si>
    <t>Emerson Micro Motion 고압 코리올리 유량계</t>
  </si>
  <si>
    <t>https://www.emerson.com/en-us/news/automation/20-09-coriolis-high-pressure</t>
  </si>
  <si>
    <t>OIML R 139 — Compressed Gaseous Fuel Measuring Systems for Vehicles (H2tools 요약)</t>
  </si>
  <si>
    <t>https://h2tools.org/fuel-cell-codes-and-standards/oiml-r-139-compressed-gaseous-fuel-measuring-systems-vehicles-oiml-r</t>
  </si>
  <si>
    <t>Hydrogen Conversions Calculator (H2tools / PNNL)</t>
  </si>
  <si>
    <t>https://h2tools.org/hyarc/calculator-tools/hydrogen-conversions-calculator</t>
  </si>
  <si>
    <t>수소 튜브트레일러(T/T) 이용 수소 유통 가능 (에너지데일리)</t>
  </si>
  <si>
    <t>https://www.energydaily.co.kr/news/articleView.html?idxno=126024</t>
  </si>
  <si>
    <t>청정수소 인증제, 어떻게 운영되나 (월간수소경제)</t>
  </si>
  <si>
    <t>청정수소 인증제 관련 보도자료 (기후솔루션)</t>
  </si>
  <si>
    <t>https://forourclimate.org/ko/newsroom/518</t>
  </si>
  <si>
    <t>수소 상용화 앞당길 '청정수소발전의무화제도' A to Z (SK에코플랜트 뉴스룸)</t>
  </si>
  <si>
    <t>https://news.skecoplant.com/plant-tomorrow/15746/</t>
  </si>
  <si>
    <t>유틸리티 — CHPS 규제 변화 (하나증권 산업분석, 2026-06-10)</t>
  </si>
  <si>
    <t>https://file.hanaw.com/download/research/FileServer/WEB/industry/industry/2026/06/09/Utilities_260610_CHPS.pdf</t>
  </si>
  <si>
    <t>수소발전 입찰시장 연도별 구매량 산정 등에 관한 고시 (국가법령정보센터)</t>
  </si>
  <si>
    <t>https://www.law.go.kr/%ED%96%89%EC%A0%95%EA%B7%9C%EC%B9%99/%EC%88%98%EC%86%8C%EB%B0%9C%EC%A0%84%20%EC%9E%85%EC%B0%B0%EC%8B%9C%EC%9E%A5%20%EC%97%B0%EB%8F%84%EB%B3%84%20%EA%B5%AC%EB%A7%A4%EB%9F%89%20%EC%82%B0%EC%A0%95%20%EB%93%B1%EC%97%90%20%EA%B4%80%ED%95%9C%20%EA%B3%A0%EC%8B%9C</t>
  </si>
  <si>
    <t>2025년 일반수소발전시장 경쟁입찰 공고 (전력거래소)</t>
  </si>
  <si>
    <t>https://kpx.or.kr/board.es?mid=a11201000000&amp;bid=0042&amp;list_no=75083&amp;act=view</t>
  </si>
  <si>
    <t>계량증명업 등록 안내 (정부24)</t>
  </si>
  <si>
    <t>https://www.gov.kr/mw/AA020InfoCappView.do?HighCtgCD=A09006&amp;CappBizCD=14110000061</t>
  </si>
  <si>
    <t>수소 및 수소용품 관련 규제사항 체크리스트 (연구개발특구진흥재단, 2025.8)</t>
  </si>
  <si>
    <t>Boil-off losses along LH2 pathway (LLNL-TR-750685, OSTI)</t>
  </si>
  <si>
    <t>https://www.osti.gov/biblio/1466121</t>
  </si>
  <si>
    <t>국내 최초, 세계 최대 용량 '3톤 액화수소 탱크트레일러' 출시 (상용차매거진)</t>
  </si>
  <si>
    <t>https://www.cvinfo.com/news/articleView.html?idxno=26588</t>
  </si>
  <si>
    <t>국내 수소튜브트레일러 현황(권역별) — 수소경제 종합정보포털</t>
  </si>
  <si>
    <t>https://h2hub.or.kr/main/stat/stat_distribute_area_tube.do</t>
  </si>
  <si>
    <t>가중평균 SMP — 전력통계정보시스템(EPSIS)</t>
  </si>
  <si>
    <t>https://epsis.kpx.or.kr/epsisnew/selectEkmaSmpSmpChart.do?menuId=040201</t>
  </si>
  <si>
    <t>수소 유통시장, 플랫폼 구축과 계량표준화로 진화 중 (공학저널)</t>
  </si>
  <si>
    <t>http://www.engjournal.co.kr/news/articleView.html?idxno=3258</t>
  </si>
  <si>
    <t>가평 2MW 청정수소발전 — 도면 적용 결과 (FCND-GP-PID-002 REV.2)</t>
  </si>
  <si>
    <t>고객사가 보낸 실제 사업 도면을 그대로 넣은 결과입니다. 설비 17개를 도면 명판대로 등록했고, 계장 태그 10점은 계측 항목에 바로 매핑했으며, 나머지 52행(필수 37·권장 15)은 미설치라 데이터 계약 요청 목록이 됩니다. 명판의 '미확인'은 추정값으로 채우지 않고 그대로 남긴 값이며, 그 자체가 벤더·설계사 회신 대기 목록입니다.</t>
  </si>
  <si>
    <t>코드·태그</t>
  </si>
  <si>
    <t>이름·계측 항목</t>
  </si>
  <si>
    <t>명판 · 설비·한정자</t>
  </si>
  <si>
    <t>상태·중요도</t>
  </si>
  <si>
    <t>설비 트리</t>
  </si>
  <si>
    <t>이름</t>
  </si>
  <si>
    <t>명판 (도면 표기 그대로 · 미확인은 그대로 남긴다)</t>
  </si>
  <si>
    <t>중요도</t>
  </si>
  <si>
    <t>PV1</t>
  </si>
  <si>
    <t>태양광 발전설비</t>
  </si>
  <si>
    <t>dc kwp 1,500  (미확인: ac kw)</t>
  </si>
  <si>
    <t>ESS1</t>
  </si>
  <si>
    <t>ESS 설비</t>
  </si>
  <si>
    <t>energy kwh 2,000  (미확인: power kw, chemistry)</t>
  </si>
  <si>
    <t>ELZ1</t>
  </si>
  <si>
    <t>PEM 수전해 설비</t>
  </si>
  <si>
    <t>rated kw 2,500 · technology PEM · h2 rated kg h 44.9 · outlet bar 30  (미확인: nm3 reference c)</t>
  </si>
  <si>
    <t>ELZ1/RECT1</t>
  </si>
  <si>
    <t>rated dc kw 2,500  (미확인: rated ac kva)</t>
  </si>
  <si>
    <t>ELZ1/WTU1</t>
  </si>
  <si>
    <t>capacity l h 500 · feed m3 h 0.5 · recycle m3 h 0.3  (미확인: recycle source)</t>
  </si>
  <si>
    <t>ELZ1/WTU1/TANK1</t>
  </si>
  <si>
    <t>volume m3 20  (미확인: material, vent filter)</t>
  </si>
  <si>
    <t>H2BUF1</t>
  </si>
  <si>
    <t>수소 버퍼탱크</t>
  </si>
  <si>
    <t>tank count 1 · water volume l 50,000 · max bar 30  (미확인: usable kg, pressure basis, min outlet bar)</t>
  </si>
  <si>
    <t>H2BUF1/TANK1</t>
  </si>
  <si>
    <t>버퍼 용기</t>
  </si>
  <si>
    <t>water volume l 50,000 · max bar 30  (미확인: vessel type)</t>
  </si>
  <si>
    <t>PRV1</t>
  </si>
  <si>
    <t>inlet bar max 30 · outlet bar set 0.8  (미확인: stages, class ac, class sg, min dp bar, downstream volume m3)</t>
  </si>
  <si>
    <t>FC1</t>
  </si>
  <si>
    <t>PEM 연료전지 발전설비</t>
  </si>
  <si>
    <t>rated kw 2,000 · technology PEMFC</t>
  </si>
  <si>
    <t>FC1/HX1</t>
  </si>
  <si>
    <t>duty kw 350  (미확인: type, wall type, plate material, design approach k, design ua kw k)</t>
  </si>
  <si>
    <t>FC1/PCS1</t>
  </si>
  <si>
    <t>연료전지 PCS</t>
  </si>
  <si>
    <t>power kw 2,500 · ac voltage v 380 · dc voltage v 650</t>
  </si>
  <si>
    <t>MTR1</t>
  </si>
  <si>
    <t>계통 연계 계량기</t>
  </si>
  <si>
    <t>voltage v 22,900  (미확인: export limit kw)</t>
  </si>
  <si>
    <t>O2P1</t>
  </si>
  <si>
    <t>o2 rated nm3 h 250  (미확인: purity grade)</t>
  </si>
  <si>
    <t>O2P1/TANK1</t>
  </si>
  <si>
    <t>산소 저장탱크</t>
  </si>
  <si>
    <t>water volume m3 30 · max bar 15  (미확인: pressure basis, design temp c, storage capacity m3)</t>
  </si>
  <si>
    <t>O2P1/LOAD1</t>
  </si>
  <si>
    <t>compressor present none  (미확인: loading bar, meter type, meter accuracy pct)</t>
  </si>
  <si>
    <t>H2DLV1</t>
  </si>
  <si>
    <t xml:space="preserve">  (미확인: design bar, meter type, meter accuracy pct, bank present, vent stack)</t>
  </si>
  <si>
    <t>도면 계장 태그</t>
  </si>
  <si>
    <t>태그</t>
  </si>
  <si>
    <t>계측 항목</t>
  </si>
  <si>
    <t>설비 · 한정자</t>
  </si>
  <si>
    <t>상태</t>
  </si>
  <si>
    <t>계장</t>
  </si>
  <si>
    <t>FT-101</t>
  </si>
  <si>
    <t>정제수 급수 유량 [water.flow.feed]</t>
  </si>
  <si>
    <t>매핑 완료</t>
  </si>
  <si>
    <t>FT-201</t>
  </si>
  <si>
    <t>수소 질량유량 [h2.flow.mass]</t>
  </si>
  <si>
    <t>ELZ1 · elz.out</t>
  </si>
  <si>
    <t>FT-301</t>
  </si>
  <si>
    <t>연료전지 수소 소비 유량 [fc.h2.consumption]</t>
  </si>
  <si>
    <t>LT-101</t>
  </si>
  <si>
    <t>물탱크 수위 [water.tank.level]</t>
  </si>
  <si>
    <t>PT-201</t>
  </si>
  <si>
    <t>수소 압력 [h2.pressure]</t>
  </si>
  <si>
    <t>H2BUF1 · buffer</t>
  </si>
  <si>
    <t>PT-202</t>
  </si>
  <si>
    <t>FC1 · fc.inlet</t>
  </si>
  <si>
    <t>PT-401</t>
  </si>
  <si>
    <t>저장용기 압력 [tank.pressure]</t>
  </si>
  <si>
    <t>O2P1/TANK1 · o2</t>
  </si>
  <si>
    <t>TT-301</t>
  </si>
  <si>
    <t>열교환기 1차측 입구 온도 [hx.temp.hot.in]</t>
  </si>
  <si>
    <t>TT-302</t>
  </si>
  <si>
    <t>열교환기 1차측 출구 온도 [hx.temp.hot.out]</t>
  </si>
  <si>
    <t>TT-303</t>
  </si>
  <si>
    <t>열교환기 2차측 출구 온도 [hx.temp.cold.out]</t>
  </si>
  <si>
    <t>신설 요청 포인트</t>
  </si>
  <si>
    <t>필요도</t>
  </si>
  <si>
    <t>요청</t>
  </si>
  <si>
    <t>AT-401</t>
  </si>
  <si>
    <t>산소 중 수소 농도(HTO) [h2.in.o2]</t>
  </si>
  <si>
    <t>O2P1 · o2.product  — 법정 압축금지선 2 vol% 감시 (애노드 원가스 = 산소 계통 쪽에 붙는다)</t>
  </si>
  <si>
    <t>신설 요청 (필수)</t>
  </si>
  <si>
    <t>AT-402</t>
  </si>
  <si>
    <t>제품 산소 순도 [o2.purity]</t>
  </si>
  <si>
    <t>O2P1  — 법정 1일 1회 99.5% 이상 확인</t>
  </si>
  <si>
    <t>AT-403</t>
  </si>
  <si>
    <t>대기 산소 농도 [o2.detector.pct]</t>
  </si>
  <si>
    <t>O2P1 · vent</t>
  </si>
  <si>
    <t>O2P1/TANK1 · tankroom</t>
  </si>
  <si>
    <t>O2P1/LOAD1 · loading</t>
  </si>
  <si>
    <t>CT-101</t>
  </si>
  <si>
    <t>순수·냉각수 전도도 [water.conductivity]</t>
  </si>
  <si>
    <t>ELZ1/WTU1 · ro</t>
  </si>
  <si>
    <t>CT-102</t>
  </si>
  <si>
    <t>ELZ1/WTU1 · product</t>
  </si>
  <si>
    <t>CT-301</t>
  </si>
  <si>
    <t>FC1/HX1 · feed</t>
  </si>
  <si>
    <t>CT-302</t>
  </si>
  <si>
    <t>FC1/HX1 · feed.in</t>
  </si>
  <si>
    <t>FQ-101</t>
  </si>
  <si>
    <t>누적 급수량 [water.volume.total]</t>
  </si>
  <si>
    <t>ELZ1/WTU1  — 원단위 KPI의 분자</t>
  </si>
  <si>
    <t>FQ-501</t>
  </si>
  <si>
    <t>누적 수소 반입량 [h2.delivery.mass.total]</t>
  </si>
  <si>
    <t>H2DLV1  — 원장 delivered 항의 1순위 소스</t>
  </si>
  <si>
    <t>FT-102</t>
  </si>
  <si>
    <t>회수수 재순환 유량 [water.flow.recycle]</t>
  </si>
  <si>
    <t>FT-103</t>
  </si>
  <si>
    <t>RO 투과유량 [ro.flow.permeate]</t>
  </si>
  <si>
    <t>FT-104</t>
  </si>
  <si>
    <t>RO 농축수 유량 [ro.flow.reject]</t>
  </si>
  <si>
    <t>FT-302</t>
  </si>
  <si>
    <t>열교환기 1차측 유량 [hx.flow.hot]</t>
  </si>
  <si>
    <t>FT-402</t>
  </si>
  <si>
    <t>산소 질량유량 [o2.flow.mass]</t>
  </si>
  <si>
    <t>누적 산소 출하량 [o2.shipped.mass.total]</t>
  </si>
  <si>
    <t>FT-501</t>
  </si>
  <si>
    <t>수소 하역 질량유량 [h2.delivery.flow.mass]</t>
  </si>
  <si>
    <t>H2DLV1  — 코리올리 ±0.5%</t>
  </si>
  <si>
    <t>LS-101</t>
  </si>
  <si>
    <t>물탱크 수위 스위치 [water.level.alarm]</t>
  </si>
  <si>
    <t>ELZ1/WTU1/TANK1 · low</t>
  </si>
  <si>
    <t>LS-102</t>
  </si>
  <si>
    <t>ELZ1/WTU1/TANK1 · high  — B.4 감압·버퍼 — 수소 재고 환산과 조정기 시트 누설 판정</t>
  </si>
  <si>
    <t>PDT-101</t>
  </si>
  <si>
    <t>RO 공급-농축 차압 [ro.pressure.diff]</t>
  </si>
  <si>
    <t>PT-101</t>
  </si>
  <si>
    <t>RO 공급 압력 [ro.pressure.feed]</t>
  </si>
  <si>
    <t>PT-402</t>
  </si>
  <si>
    <t>산소 출하 헤더 압력 [o2.loading.pressure]</t>
  </si>
  <si>
    <t>PT-501</t>
  </si>
  <si>
    <t>트레일러 잔압 [h2.trailer.pressure]</t>
  </si>
  <si>
    <t>PT-502</t>
  </si>
  <si>
    <t>하역 헤더 압력 [h2.delivery.pressure]</t>
  </si>
  <si>
    <t>TT-201</t>
  </si>
  <si>
    <t>저장용기 온도 [tank.temp]</t>
  </si>
  <si>
    <t>H2BUF1 · buffer.gas  — 30 bar에서 1 °C = 102 mbar = 겉보기 0.41 kg</t>
  </si>
  <si>
    <t>TT-304</t>
  </si>
  <si>
    <t>열교환기 2차측 입구 온도 [hx.temp.cold.in]</t>
  </si>
  <si>
    <t>FC1/HX1  — 도면에 없다. 회수 열량·UA 계산 전체가 이 값에 걸린다</t>
  </si>
  <si>
    <t>TT-401</t>
  </si>
  <si>
    <t>O2P1/TANK1 · o2  — 온도 없이는 압력→질량 환산이 불가능하다</t>
  </si>
  <si>
    <t>TT-502</t>
  </si>
  <si>
    <t>하역 가스 온도 [h2.delivery.temp]</t>
  </si>
  <si>
    <t>XV-401</t>
  </si>
  <si>
    <t>차단밸브 열림 [valve.open]</t>
  </si>
  <si>
    <t>O2P1/TANK1 · o2.vent</t>
  </si>
  <si>
    <t>XV-402</t>
  </si>
  <si>
    <t>O2P1/LOAD1 · o2.loading  — B.2 폐열회수 HX-301 — 교차누설로부터 수전해 스택을 지키는 것이 먼저다</t>
  </si>
  <si>
    <t>미지정</t>
  </si>
  <si>
    <t>FC1/HX1 · hx.makeup  — 보충수 카운터가 없으면 누설·용출 판별 자체가 불가능</t>
  </si>
  <si>
    <t>열교환기 2차측 유량 [hx.flow.cold]</t>
  </si>
  <si>
    <t>FC1/HX1  — UA 판정의 2차측 유량 (FT-101과 같은 지점일 수 있다 — 확인 필요)</t>
  </si>
  <si>
    <t>수소 압력 설정값 [h2.pressure.setpoint]</t>
  </si>
  <si>
    <t>수소 압력 리플(1분 P-P) [h2.pressure.ripple]</t>
  </si>
  <si>
    <t>PRV1  — PLC가 1초 표본으로 산출해야 한다</t>
  </si>
  <si>
    <t>하역 상태 코드 [h2.delivery.state]</t>
  </si>
  <si>
    <t>접지 연속성 양호 [h2.delivery.ground]</t>
  </si>
  <si>
    <t>H2DLV1  — EIGA TB 51: 매 납품 접지 확인</t>
  </si>
  <si>
    <t>AT-101</t>
  </si>
  <si>
    <t>경도 (as CaCO₃) [water.hardness]</t>
  </si>
  <si>
    <t>신설 요청 (권장)</t>
  </si>
  <si>
    <t>FQ-301</t>
  </si>
  <si>
    <t>회수 열출력 [hx.heat.recovered]</t>
  </si>
  <si>
    <t>누적 회수 열량 [hx.heat.total]</t>
  </si>
  <si>
    <t>FT-401</t>
  </si>
  <si>
    <t>O2P1 · production</t>
  </si>
  <si>
    <t>FT-502</t>
  </si>
  <si>
    <t>누적 수소 방출량 [h2.vent.mass.total]</t>
  </si>
  <si>
    <t>MT-401</t>
  </si>
  <si>
    <t>제품 산소 이슬점 [o2.dewpoint]</t>
  </si>
  <si>
    <t>PDT-102</t>
  </si>
  <si>
    <t>필터 차압 [filter.pressure.diff]</t>
  </si>
  <si>
    <t>ELZ1/WTU1 · prefilter</t>
  </si>
  <si>
    <t>PDT-201</t>
  </si>
  <si>
    <t>PRV1 · prv</t>
  </si>
  <si>
    <t>PDT-301</t>
  </si>
  <si>
    <t>열교환기 1차측 차압 [hx.pressure.diff.hot]</t>
  </si>
  <si>
    <t>PDT-302</t>
  </si>
  <si>
    <t>열교환기 2차측 차압 [hx.pressure.diff.cold]</t>
  </si>
  <si>
    <t>FC1/HX1  — B.3 수처리 — 물수지 폐합과 소모품 상태 기반 관리</t>
  </si>
  <si>
    <t>TT-202</t>
  </si>
  <si>
    <t>H2BUF1 · buffer.skin</t>
  </si>
  <si>
    <t>TT-501</t>
  </si>
  <si>
    <t>방출관 온도 [vent.temp]</t>
  </si>
  <si>
    <t>PRV1  — B.5 외부 수소 반입 — 이것이 없으면 물질수지 식 자체가 성립하지 않는다</t>
  </si>
  <si>
    <t>펌프 소비전력 [pump.power]</t>
  </si>
  <si>
    <t>ELZ1/WTU1 · feed</t>
  </si>
  <si>
    <t>ELZ1/WTU1 · loop</t>
  </si>
  <si>
    <t>부속 계통 다섯 갈래의 고장 모드와 오탐 함정</t>
  </si>
  <si>
    <t>가평 도면 조사에서 정리한 고장 모드 58건입니다. '오탐 함정'은 다른 원인이 같은 신호를 그대로 흉내 내는 경우이며, 탐지기를 켜기 전에 이 목록으로 판별 체크를 먼저 설계합니다. 안전 판단은 현장 설비·PLC 인터록의 몫이며 콘솔이 대신하지 않습니다.</t>
  </si>
  <si>
    <t>고장 모드</t>
  </si>
  <si>
    <t>데이터에 나타나는 신호</t>
  </si>
  <si>
    <t>탐지 방법</t>
  </si>
  <si>
    <t>오탐 함정</t>
  </si>
  <si>
    <t>권장 조치</t>
  </si>
  <si>
    <t>심각도</t>
  </si>
  <si>
    <t>산소 저장탱크·배관 정압 누설</t>
  </si>
  <si>
    <t>출하·방출이 없는 구간에서 온도보정 압력이 지속 하강. 물질수지 잔차가 한 방향으로 누적. 탱크실 산소 농도의 완만한 상승.</t>
  </si>
  <si>
    <t>밸브 전폐 + 생산 정지 구간(≥30분)을 골라 밀도 ρ(P,T,Z)로 환산한 재고 m(t)에 Theil-Sen 회귀를 건다. |dm/dt| &gt; 만재 재고의 0.5%/h가 서로 다른 3개 정지구간에서 반복되면 경보. 기존 tank-static-leak.ts를 산소 EOS로 파라미터화해 재사용한다.</t>
  </si>
  <si>
    <t>① 온도 하강만으로도 압력은 떨어진다 — TT-401 없이 PT만으로 판정하면 야간마다 오경보가 난다. ② 안전밸브 심(seat) 미세 누출은 배관 누설과 신호가 동일하다 — 방출관 산소 농도로 구분한다. ③ 분석·계측 샘플링 라인의 정상 소모(purge)를 누설로 오인. ④ 출하 직후 잔류 압력평형(20~30분)을 누설로 오인.</t>
  </si>
  <si>
    <t>정지 구간 압력강하율을 보전 이력에 기록하고 0.5%/h를 넘으면 비눗물·초음파 누설점검 작업지시를 발행한다. 방출관 산소농도가 동시에 오르면 안전밸브 심 누출을 우선 의심하고 기능검사(압축기 최종단 1년, 그 밖 2년) 주기를 앞당긴다.</t>
  </si>
  <si>
    <t>high</t>
  </si>
  <si>
    <t>부산물 산소 [6]</t>
  </si>
  <si>
    <t>버퍼 용량 부족에 의한 상시 방출(vent) 손실</t>
  </si>
  <si>
    <t>탱크 압력이 상한에 붙어 있는 시간 비율이 높음. 생산량 대비 출하량의 누적 격차 확대. 방출밸브 개도 시간 증가.</t>
  </si>
  <si>
    <t>일 단위 물질수지로 방출량 ≈ 이론생산(FT-201×0.5×1.429) − 출하량 − 재고증가를 산출하고, 방출 손실률 = 방출/이론생산으로 정의한다. 동시에 '탱크 압력 ≥ 상한 95%'인 시간비율(만재율)을 추적해, 만재율과 방출 손실률의 상관이 0.7 이상이면 구조적 버퍼 부족으로 분류한다.</t>
  </si>
  <si>
    <t>① 유량계 없이 이론생산으로 대체하면 수전해 부하변동 시 오차가 커진다 — FT-401이 없을 때는 결과에 '추정' 플래그가 반드시 필요하다. ② 출하 계량 누락(전표 미입력)을 방출로 오인. ③ 정비 목적의 계획 방출(퍼지)을 손실로 집계.</t>
  </si>
  <si>
    <t>단기로는 수전해 운전 스케줄을 트럭 도착 시각에 맞춰 조정한다(출하 직전 증산, 만재 임박 시 감발). 중기로는 압축기+튜브트레일러 도입으로 실질 버퍼를 10배 이상 확보하거나 탱크를 증설한다. 방출이 구조적으로 불가피하면 산소 판매를 포기하고 방출 설계를 안전 기준에만 맞추는 편이 총비용이 낮다 — 경제성 재검토 안건으로 올린다.</t>
  </si>
  <si>
    <t>부산물 산소 [12]</t>
  </si>
  <si>
    <t>산소 순도 저하 (수소 크로스오버 증가)</t>
  </si>
  <si>
    <t>h2.in.o2(HTO) 상승. 저부하·고압 운전 구간에서 특히 두드러짐. 막 손상 시 계단형 상승.</t>
  </si>
  <si>
    <t>부하 bin(전류밀도 구간)별로 HTO를 정규화한 뒤 월 단위 Theil-Sen 기울기를 본다. 법정 압축금지선(산소 중 수소 합계 2%)까지의 마진을 '남은 여유 %'로 상시 표시하고 50% 미만이면 경보. 단기적으로는 15분 이동중앙값이 1%를 넘으면 주의, 2%에서 압축·출하를 차단한다.</t>
  </si>
  <si>
    <t>① 분석기 교정 드리프트 — 영점·스팬 교정 이력과 겹쳐 보지 않으면 막 열화로 오진한다. ② 샘플링 라인 응축수에 의한 농도 왜곡(습윤 산소를 건조 없이 분석). ③ 기동 직후·저부하 과도구간의 정상적 HTO 상승을 열화로 오인 — 부하 정규화가 필수다. ④ 배압 설정 변경(압력이 오르면 크로스오버가 커진다)을 열화로 오인.</t>
  </si>
  <si>
    <t>부하 정규화 후에도 상승 추세가 3개월 지속되면 제조사에 막 건전성 진단을 요청한다. 단기로는 저부하 장시간 운전을 줄이고(최소부하 상향) 애노드 배압을 낮춘다. HTO 2% 도달 시 압축·출하 자동 차단은 선택이 아니라 법 준수 요건이다.</t>
  </si>
  <si>
    <t>압력 조절 이상 (PCV 헌팅 / 과압 / 안전밸브 반복 작동)</t>
  </si>
  <si>
    <t>탱크 압력의 단주기 진동 진폭 확대, 설정압 초과 스파이크, 안전밸브 작동 횟수 증가.</t>
  </si>
  <si>
    <t>압력 시계열의 이동 표준편차와 제로크로싱 횟수를 기준구간과 비교한다. 설정압 초과 이벤트를 카운트하고, 안전밸브 작동 추정(압력 급락 + 방출관 산소농도 급등 동시 발생)을 별도 이벤트로 적재한다.</t>
  </si>
  <si>
    <t>① 태양광 변동에 따른 수전해 부하 급변으로 생기는 정상적 압력 요동 — PV 출력 변동률로 게이트한다. ② 출하 중 압력 변동을 제어 이상으로 오인. ③ 압력계 자체 노이즈·접지 불량.</t>
  </si>
  <si>
    <t>PCV 정비·튜닝 작업지시를 낸다. 안전밸브가 반복 작동하면 설정압을 재확인하고 기능검사를 앞당기며, 작동 이력을 안전관리규정 기록(5년 보존)에 남긴다.</t>
  </si>
  <si>
    <t>medium</t>
  </si>
  <si>
    <t>출하 계량 오차 (상거래 분쟁 위험)</t>
  </si>
  <si>
    <t>출하 유량 적산값과 탱크 재고 감소 환산값의 지속적 편차, 또는 차량 계량대 실측 질량과의 편차.</t>
  </si>
  <si>
    <t>출하 건별로 (a) FT-402 적산 질량, (b) Δ재고 = ρ(P₁,T₁,Z₁)V − ρ(P₂,T₂,Z₂)V, (c) 차량 계량 차이 세 값을 비교한다. (a)-(b), (a)-(c) 편차의 부호 있는 이동평균이 ±2%를 지속 초과하면 계량계 바이어스로 분류한다.</t>
  </si>
  <si>
    <t>① 압축계수 Z를 1로 두고 환산하면 15 bar에서도 약 1%의 계통오차가 생긴다 — 반드시 실가스 EOS를 쓴다. ② 충전 중 단열압축에 의한 가스 온도 상승을 무시하면 (b)가 과소평가된다 — 충전 종료 후 온도 평형(30~60분) 뒤 값으로 계산한다. ③ 트레일러 잔압(heel) 미계상. ④ Nm³와 m³ 혼용(기준온도 0 ℃ / 15 ℃ / 20 ℃) — 계약서상 기준상태를 시스템 상수로 고정해야 한다.</t>
  </si>
  <si>
    <t>계약서의 기준상태(0 ℃·101.325 kPa)와 환산계수 1.429 kg/Nm³를 시스템 상수로 고정하고 출하 전표에 기준상태를 명시한다. 편차가 2%를 넘으면 유량계 교정을 의뢰하고, 그 사이 출하량은 차량 계량대 값을 정본으로 삼는다.</t>
  </si>
  <si>
    <t>부산물 산소 [15]</t>
  </si>
  <si>
    <t>산소 농축 대기 형성 (방출관·탱크실·출하장)</t>
  </si>
  <si>
    <t>국소 산소 농도 23.5 vol% 초과. 방출 직후와 출하 중에 집중된다.</t>
  </si>
  <si>
    <t>AT-403 5초 샘플링. 23.5% 초과가 60초 이상 지속되면 1차 경보, 25% 초과 시 즉시 경보 + 출하 중단 연동. 방출 이벤트와의 시간 상관을 함께 표시해 원인을 특정한다.</t>
  </si>
  <si>
    <t>① 검지기 드리프트(전기화학식 수명 1~2년) — 교정 이력 없는 검지기의 단독 경보는 신뢰하지 않는다. ② 질소 퍼지 후 잔류로 인한 저농도 표시를 정상으로 오인(반대 방향 위험). ③ 통풍이 좋은 옥외에서는 국소 고농도가 검지기에 도달하지 않아 '음성 오탐'이 더 위험하다 — 검지기가 방출구 풍하측에 있는지 확인한다.</t>
  </si>
  <si>
    <t>방출관 높이·방향을 재검토해 사람 접근 구역 밖으로 상향 방출시키고, 밀폐·반밀폐 공간은 시간당 6회 이상 환기를 확보한다. 작업복에 산소가 스며든 상태에서는 15분 이상 정상 대기에서 환기한 뒤 화기에 접근하도록 작업절차에 명시한다.</t>
  </si>
  <si>
    <t>critical</t>
  </si>
  <si>
    <t>부산물 산소 [4]</t>
  </si>
  <si>
    <t>유분·이물 오염에 의한 산소 발화</t>
  </si>
  <si>
    <t>압축기 토출 온도 이상 상승, 필터 차압 급증, 배관 내면 검사에서 유막·스케일 확인.</t>
  </si>
  <si>
    <t>온라인 직접 탐지는 불가능하다. 압축기 토출온도(기존 compressor.discharge.temp 패턴)와 필터 차압의 동시 상승을 대리지표로 삼고, 정기 유분시험·청정도 검사 기록의 만기를 준수 캘린더로 관리한다.</t>
  </si>
  <si>
    <t>① 외기온 상승에 따른 토출온도 상승을 오염으로 오인 — 외기온 보정이 필요하다. ② 압축기 부하율 변화. ③ 대리지표가 '음성'이라고 해서 안전하다는 뜻이 아니다 — 이 한계를 화면에 명시해야 한다.</t>
  </si>
  <si>
    <t>산소 계통은 무급유(oil-free) 또는 산소 전용 윤활제만 쓴다(국내법상 석유류·유지류·글리세린의 산소압축기 내부윤활제 사용 금지). 배관·밸브는 산소 서비스 세정(탈지) 후 봉인 상태로 설치하고 세정 인증서를 자산 문서로 콘솔에 등록한다.</t>
  </si>
  <si>
    <t>분석기·계측기 고착(flatline) 및 결측</t>
  </si>
  <si>
    <t>HTO·순도·이슬점 값이 장시간 동일값 유지, 또는 샘플 누락.</t>
  </si>
  <si>
    <t>기존 dq-gap-flatline.ts를 재사용한다. 분석기는 응답이 느리므로 flatline 임계를 압력·온도보다 길게(예: 6시간) 잡되 운전 중(op.state=생산)에만 적용한다.</t>
  </si>
  <si>
    <t>① 안정된 정상 운전에서 분석기 값이 실제로 거의 변하지 않는 구간 — 분해능 이하의 변동은 flatline이 아니다. ② 정지 구간의 동결값을 고장으로 오인.</t>
  </si>
  <si>
    <t>분석기 flatline이 확인되면 해당 기간의 순도·HTO 데이터를 KPI 계산에서 제외하고 '측정 불가' 구간으로 표시한다. 법정 1일 1회 품질검사는 온라인 분석기와 별개로 수동 채취·분석 기록이 있어야 하므로 기록 누락 여부를 준수 체크리스트로 관리한다.</t>
  </si>
  <si>
    <t>건조기 파과(breakthrough) — 수분 혼입</t>
  </si>
  <si>
    <t>이슬점 상승, 건조 기준 순도 하락, 흡착탑 재생 온도·시간 이상.</t>
  </si>
  <si>
    <t>탑 교번 주기별로 사이클 내 최고 이슬점을 추적한다. 연속 3사이클에서 최고 이슬점이 상승하면 흡착제 열화 또는 재생 부족으로 분류한다.</t>
  </si>
  <si>
    <t>① 여름철 입구 가스 온도 상승에 의한 일시적 부하 증가. ② 재생 히터 제어 문제와 흡착제 수명 저하는 신호가 유사하다 — 재생 온도 곡선으로 구분한다.</t>
  </si>
  <si>
    <t>재생 온도·시간 설정을 먼저 확인하고 정상이면 흡착제 교체를 계획한다. 의료·식품 등급으로 판매 중이면 이슬점 초과 구간의 출하분을 추적할 수 있도록 로트 기록을 남긴다.</t>
  </si>
  <si>
    <t>부산물 산소 [1]</t>
  </si>
  <si>
    <t>출하 지연에 의한 수전해 감발 (기회손실)</t>
  </si>
  <si>
    <t>탱크 만재 + 트럭 미도착 상태에서 수전해 부하 지령이 강제 하향.</t>
  </si>
  <si>
    <t>탱크 만재율과 수전해 부하 지령 하향 이벤트의 동시 발생을 집계한다. 월별 '산소 병목으로 잃은 수소 생산량(Nm³)'을 계산해 기회손실로 환산한다.</t>
  </si>
  <si>
    <t>① 태양광 부족에 의한 정상 감발과 구분해야 한다 — PV 발전량이 충분한데도 감발했는지 확인한다. ② 연료전지 수소 수요 변동에 의한 감발.</t>
  </si>
  <si>
    <t>산소가 수소 생산의 제약이 된 시간 비율을 월간 리포트 상단에 노출한다. 5%를 넘으면 방출 허용(= 산소 판매 포기)과 버퍼 증설 중 하나를 의사결정 안건으로 올린다.</t>
  </si>
  <si>
    <t>판 미세균열(핀홀)에 의한 1차→2차 교차누설 — 수전해 스택 즉시 손상</t>
  </si>
  <si>
    <t>2차측 급수 전도도 급등(&lt;1 → 수 μS/cm), 1차측 팽창탱크 수위 서서히 감소·보충수 빈도 증가, 양측 압력차 축소, 수전해 스택 셀전압 동반 상승</t>
  </si>
  <si>
    <t>water.conductivity(qualifier 'feed') 1 μS/cm 초과가 3회 연속 샘플 지속 → 즉시 경보 + 급수 차단 권고. 동시에 1차측 보충수 카운트 주간 증가율과 상관을 본다. 단독 전도도 상승은 DI 수지 소진일 수 있으므로 HX 상류 전도도와 동시 비교가 필수다.</t>
  </si>
  <si>
    <t>① 상류 DI 수지 소진(HX 상류 전도도도 같이 오르면 HX 문제 아님). ② 전도도계 온도보정 미적용 — 급수가 15 °C에서 55 °C로 오르면 같은 이온농도에서도 측정값이 크게 오른다(순수에서 약 2%/K 수준). 25 °C 환산값을 써야 한다. ③ 배관 신설·정비 직후 잔류물. ④ 316L 스테인리스 판에서의 금속이온 용출 — 초순수는 '배고픈 물'이라 316 SS에서 Ni·Fe를 뽑아낼 수 있어 누설이 없어도 전도도가 오른다.</t>
  </si>
  <si>
    <t>즉시 HX-301 2차측을 차단하고 수전해 급수를 바이패스(예열 없이 직공급)로 돌린다. 1차측을 가압한 채 2차측을 개방해 누설 여부를 확인하고, 판 침투탐상 또는 EDA(Testex 계열) 검사를 한다. 항구 대책은 이중벽(double-wall, 벤트형) 열교환기로 교체하는 것이다. FC 냉각수에 글리콜이 들어 있으면 스택은 회복 불가이므로 교체 전제로 대응한다.</t>
  </si>
  <si>
    <t>ASTM Type II &lt;1 μS/cm(s12); 이중벽 열교환기 요구 IPC 608.16.3 계열(s18); 초순수의 316 SS 이온 용출(s19)</t>
  </si>
  <si>
    <t>판 표면 스케일·오염에 의한 UA 저하</t>
  </si>
  <si>
    <t>동일 유량·동일 입구온도 bin에서 UA 7일 중앙값이 기준 대비 하락, 접근온도 상승, 2차측 출구온도가 설정치(55 °C)에 못 미침</t>
  </si>
  <si>
    <t>UA = Q / LMTD를 정상상태 창에서만 계산하고(게이트는 detectorProposals 참조), 유량 bin·1차측 입구온도 bin별로 기준 UA를 잡는다. 7일 중앙값이 기준 대비 −15% → 경고, −25% → 주의. 접근온도 +3 K(7일 중앙값) 동시 상승이면 확증. 차압이 같이 오르면 스케일/막힘, 차압이 그대로면 판 표면 막(생물막·유막) 또는 유량 저하다.</t>
  </si>
  <si>
    <t>① 2차측 입구온도(DI 탱크 수온) 계절 변동 — 겨울에 입구가 차가우면 LMTD가 커져 같은 Q에서 UA가 낮아 보인다. 반드시 LMTD로 정규화하고 bin을 나눠야 한다. ② 순환펌프 VFD 감속 — 유량 저하는 UA도 함께 떨어뜨린다(파울링 아님). ③ 작은 온도차 구간의 오차 폭증 — 적산열량계 기술기준의 감온부 오차 Et=±(0.5+3ΔΘmin/ΔΘ)%는 ΔΘ가 작을수록 커진다. ΔΘ 10 K 미만 구간은 판정에서 제외한다. ④ 열수요(급수)가 없는 시간대의 0 유량.</t>
  </si>
  <si>
    <t>먼저 차압·유량·스트레이너를 확인해 유량 저하가 원인인지 가른다. 유량이 정상인데 UA만 떨어지면 CIP 세정을 계획한다. 세정액은 스케일에 질산 1.5% 이하·65 °C 이하, 유기물에 가성소다(NaOH) 1.5% 이하·85 °C 이하를 쓰고, 칼슘 침전물에는 질산 10% + 인산나트륨계 2%를 쓴다. 염산은 판의 Cr₂O₃ 부동태 피막을 깨므로 절대 금지다. 세정 후 UA를 재측정해 기준선을 갱신한다.</t>
  </si>
  <si>
    <t>지역난방 판형 열교환기 유지관리(s10); Alfa Laval 계산법(s9); 적산열량계 기술기준 Et 산식(s7); 미처리 계통 U값 5년 후 30~50% 저하(s16, 상업자료)</t>
  </si>
  <si>
    <t>유로 막힘·스트레이너 막힘에 의한 차압 상승</t>
  </si>
  <si>
    <t>동일 유량에서 ΔP 상승, 유량 저하(정속펌프) 또는 펌프 전력 상승(VFD 정유량 제어), UA 동반 하락</t>
  </si>
  <si>
    <t>정규화 차압 R_dp = ΔP_meas / (ΔP_ref × (Q/Q_ref)^1.75)를 쓴다. R_dp 7일 중앙값 ≥ 1.20 → 경고, ≥ 1.50 → 주의. 지수 1.75는 판형 제조사 범위 1.5~2.0의 중앙값이며, 세정 직후 같은 유량 2~3점으로 현장에서 지수를 회귀해 확정하는 것이 좋다.</t>
  </si>
  <si>
    <t>① 유체 점도 변화 — 1차측 온도가 낮은 기동 직후에는 점도가 높아 ΔP가 정상보다 크다. 온도 bin이 필요하다. ② 글리콜 농도 변경(점도·비열이 동시에 바뀌어 Q 계산도 틀어진다). ③ 차압계 영점 드리프트 — 정지·무유량 구간에서 ΔP가 0이 아니면 영점 재교정. ④ 밸브 개도 변경(운전 변경이지 막힘 아님).</t>
  </si>
  <si>
    <t>스트레이너를 먼저 청소하고 유량계·차압계 영점을 확인한다. 유로 내부 막힘이 의심되면 역세(backflush)를 시도하고, 회복되지 않으면 분해 점검한다. 파울링 방지를 위해 판 사이 최소 유속 0.5 m/s(물 기준)를 유지하도록 유량 설정을 재검토한다. 2차측은 급수량이 0.5 m³/h로 작아 유속이 낮을 가능성이 높으므로, 판 매수를 줄이거나 저유량 전용 판형(좁은 유로)으로 재선정하는 것을 검토한다.</t>
  </si>
  <si>
    <t>판형 압력손실 지수·최소 유속 0.5 m/s(s17); s14</t>
  </si>
  <si>
    <t>바이패스/3방 밸브 고착 — 회수열 상실 또는 급수 과열</t>
  </si>
  <si>
    <t>(고착-우회) 1차측 입출구 온도차 ≈ 0인데 FC는 정상 발열, 회수열 0, 덤프쿨러 가동 증가. (고착-전개) 2차측 출구온도가 설정 55 °C를 넘어 상승, 수전해 스택 입구 온도 상한 접근</t>
  </si>
  <si>
    <t>FC 출력 ≥ 정격의 30%이고 급수 유량 &gt; 0인 구간에서 hx.heat.recovered 15분 중앙값이 설계 열량의 10% 미만이면 '회수 상실'로 경고. 반대로 hx.temp.cold.out이 설정치 +5 K를 15분 초과하면 '과열'로 경고하고 수전해 스택 입구 온도와 함께 본다.</t>
  </si>
  <si>
    <t>① 정상적인 열수요 소실 — 수전해가 정지 중이면 회수열 0이 맞다. 반드시 수전해 op.state로 게이트한다. ② 기동 중 밸브 램프 구간. ③ 급수 온도 설정 변경(운전자가 바꿨을 수 있어 설정값 변경 이력과 대조해야 한다).</t>
  </si>
  <si>
    <t>밸브 액추에이터 피드백(개도)과 지령을 대조해 고착 여부를 확인하고, 고착이면 스템 청소·구동부 점검·교체를 한다. 과열 쪽 고착은 수전해 스택을 직접 위협하므로 급수 온도 상한 인터록(하드와이어)이 있는지 먼저 확인한다. 도면에 바이패스 밸브 태그가 없으므로 실제 존재 여부를 설계사에 확인해야 한다.</t>
  </si>
  <si>
    <t>기존 파일 deep/research-fuelcell.json components[9] 3방향밸브 고착 참조. 급수 과열 방향은 본 파일에서 추가</t>
  </si>
  <si>
    <t>열회수 부하 소실로 인한 FC 냉각수 온도 상승과 감발(derate)</t>
  </si>
  <si>
    <t>동일 FC 출력·동일 외기에서 냉각수 입구온도 상승, 팬/덤프쿨러 100% 지령 빈도 증가, 하절기 FC 출력 상한 하락</t>
  </si>
  <si>
    <t>(hx.temp.hot.in − ambient.temp)를 FC 출력 bin별로 기준 대비 비교. 7일 중앙값 +5 K 초과 → 경고. 덤프쿨러 100% 운전시간 비율의 월간 추세를 함께 본다.</t>
  </si>
  <si>
    <t>① 폭염일 외기 급상승 자체 — 외기로 정규화해야 한다. ② 팬 제어로직 변경. ③ 열회수량이 총 발열의 17%뿐이므로 열회수 유무가 냉각계통에 주는 영향은 작다 — 이 모드의 주원인은 덤프쿨러 쪽이지 HX-301이 아닐 가능성이 높다.</t>
  </si>
  <si>
    <t>덤프쿨러/라디에이터 핀 청소와 팬 점검이 우선이다. 도면 수치상 FC 총 발열 약 2,014 kWth 중 350 kWth만 회수되므로, 잔여 약 1,664 kWth를 처리할 방열설비 용량이 실제로 확보되어 있는지 설계 검토를 요청한다(openQuestions 3번).</t>
  </si>
  <si>
    <t>도면 수치 계산(H₂ 1,340 Nm³/h × 3.00 kWh/Nm³ LHV = 4,014 kW → 전기 2,000 kW → 발열 2,014 kW); 기존 파일 failureModes[33] 참조</t>
  </si>
  <si>
    <t>열량계·온도센서 쌍 드리프트로 인한 회수열량 오계상</t>
  </si>
  <si>
    <t>1차측 열량 Q_hot과 2차측 열량 Q_cold의 비가 서서히 변화, 정지 중(무유량) ΔT가 0이 아님, 누적 회수열량이 물리적으로 불가능한 값(설계 열량 초과)</t>
  </si>
  <si>
    <t>① 무유량 영점 검사: 양측 유량 ≈ 0이고 온도가 안정된 구간에서 |T_in − T_out|의 24시간 중앙값이 0.3 K를 넘으면 센서 쌍 불일치. ② 열수지 비 검사: Q_hot/Q_cold의 장기 추세를 본다 — 절대값이 아니라 '비의 변화'를 본다(이 계통은 설계상 비가 1이 아니다).</t>
  </si>
  <si>
    <t>① 배관 방열 손실 — 보온이 나쁘면 Q_hot &gt; Q_cold가 정상적으로 나온다. ② 이 계통에서는 설계상 Q_cold가 Q_hot의 약 7%이므로 '열수지 불일치' 절대값 판정을 쓰면 안 된다(openQuestions 2번 해결 전까지). ③ 비정상상태 구간(기동·정지 램프). ④ 글리콜 농도에 따른 cp 오차.</t>
  </si>
  <si>
    <t>온도센서 쌍은 EN 1434 Class 2 기준으로 0.1 °C 이내 정합된 쌍을 쓰고, 정기검사 주기를 지킨다. 국내에서 열량을 거래·정산에 쓰면 적산열량계는 법정계량기이며 산업통상자원부 적산열량계 기술기준의 형식승인·검정 대상이다. ΔΘmin은 계통 설계 ΔT(15 K)의 1/5 이하(3 K 이하)로 지정해 정상 운전 구간의 감온부 오차가 Et=±(0.5+3×3/15)=±1.1% 수준에 머물게 한다.</t>
  </si>
  <si>
    <t>적산열량계 기술기준 2등급 산식(s7); EN 1434 온도센서 쌍 0.1 °C(s8, 2차자료)</t>
  </si>
  <si>
    <t>초순수 측 금속 이온 용출로 인한 급수 전도도 상승(누설 아님)</t>
  </si>
  <si>
    <t>급수 전도도가 예열 후 상류보다 높아지나 1차측 보충수 증가는 없음, 신설·세정 직후 특히 두드러지고 시간이 지나며 서서히 감소</t>
  </si>
  <si>
    <t>HX 상류 전도도와 하류 전도도를 동시에 측정해 차이 Δσ를 본다. Δσ &gt; 0.3 μS/cm가 지속되면서 1차측 보충수 카운트가 증가하지 않으면 용출로 분류한다(누설이면 보충수가 반드시 는다).</t>
  </si>
  <si>
    <t>① 전도도계 온도보정 미적용. ② 실제 누설의 초기 단계와 구별이 어렵다 — 보충수 카운트가 유일한 결정적 증거이므로 1차측 보충수 유량계·카운터가 없으면 이 판별이 불가능하다.</t>
  </si>
  <si>
    <t>판 재질을 확인한다. 양측이 모두 초순수/저전도도 냉각수인 계통에서는 316L 대신 티타늄 판이나 부동태 처리·코팅 판을 검토한다. 신설·세정 직후에는 일정 시간 순환 세척(flushing) 후 전도도가 안정된 다음 수전해에 연결한다. HX 하류에 폴리셔(혼상 이온교환)를 두면 근본 해결이 되지만 압력손실과 유지비가 는다.</t>
  </si>
  <si>
    <t>초순수의 316 SS 이온 용출(s19); ASTM Type II/I 기준(s12)</t>
  </si>
  <si>
    <t>개스킷 열화·외부 누설</t>
  </si>
  <si>
    <t>프레임 주변 육안 누수, 1차측 보충수 증가, 체결 치수(tightening dimension) 변화, 압력 유지 시험 실패</t>
  </si>
  <si>
    <t>텔레메트리만으로는 잡기 어렵다. 1차측 보충수 카운터의 주간 증가율과 정지 중 계통 압력 감소율(정압 유지 시험)을 보조지표로 쓴다.</t>
  </si>
  <si>
    <t>① 팽창탱크 질소 압력 저하(개스킷 문제 아님). ② 계절적 열팽창에 따른 정상적 압력 변동.</t>
  </si>
  <si>
    <t>분해 점검 시 30~40 °C까지 식힌 뒤 대각선 방향으로 판을 분리하고, 판마다 핀홀·균열·변형을 확인한다. 개스킷은 경화·영구변형이 보이면 교체한다. 재조립 시 제조사 지정 체결 치수를 반드시 지킨다(과체결은 판 변형, 부족 체결은 누설).</t>
  </si>
  <si>
    <t>지역난방 판형 열교환기 분해 점검 절차(s10)</t>
  </si>
  <si>
    <t>동시운전 미성립으로 인한 회수열 상시 0 (설계·운영 리스크)</t>
  </si>
  <si>
    <t>수전해 운전시간 중 FC가 도는 시간 비율이 낮음. 회수 열량 누적이 설계 기대치의 수분의 일에 머묾</t>
  </si>
  <si>
    <t>가용률 KPI로 본다. chp.availability = (FC 운전 ∩ 수전해 운전 시간) / 수전해 운전 시간. 월간 값이 30% 미만이면 열회수 설비의 경제성 재검토 신호다.</t>
  </si>
  <si>
    <t>① 축열조가 있으면 동시운전이 아니어도 열을 나중에 쓸 수 있다 — 도면에 축열조가 없어 보이므로 확인이 필요하다. ② 계절성(겨울 태양광 부족 → 수전해 가동 감소)을 월간이 아닌 연간으로 봐야 한다.</t>
  </si>
  <si>
    <t>태양광 1.5 MWp로 수전해 2.5 MW를 돌리는 구조라 수전해는 주간에, FC는 야간·피크에 도는 것이 경제적 기본형이다. 두 설비가 실제로 겹치는 시간을 먼저 실측하고, 겹침이 적으면 축열조(온수 버퍼)를 넣거나 회수열의 용도를 급수 예열이 아닌 상시 부하(동결 방지, 건물 난방, DI 제조설비 RO 급수 예열)로 돌리는 것이 낫다.</t>
  </si>
  <si>
    <t>도면 계통 구성(태양광→ESS→수전해, FC→PCS→계통)에서 유도한 운영 추론 — assumption. 외부 수소 반입 전제 주석 참조</t>
  </si>
  <si>
    <t>동절기 동결 (정지 중 HX·급수 배관)</t>
  </si>
  <si>
    <t>외기 0 °C 이하 + 계통 정지 + 순환 정지가 겹치는 구간. 재기동 시 유량 0, 차압 이상, 판 변형·누설</t>
  </si>
  <si>
    <t>ambient.temp &lt; 2 °C이고 hx.flow.hot ≈ 0이 30분 이상 지속되며 tank.temp(di_water)가 5 °C 미만이면 동결 위험 경보.</t>
  </si>
  <si>
    <t>① 계획 정비 중 배수 완료 상태(정상) — 정비 모드 플래그로 억제해야 한다. ② 온도계가 실내 설치라 외기를 대표하지 못하는 경우.</t>
  </si>
  <si>
    <t>가평은 동절기 최저기온이 낮은 내륙 지역이므로, 2차측 정제수 라인은 동결 시 배수하거나 트레이싱(전열선) + 보온을 적용한다. 1차측에 글리콜이 들어간다면 교차누설 시 수전해 스택이 즉사하므로, 글리콜 대신 순수 + 트레이싱 조합을 우선 검토한다. 이 판단은 도면에 냉각수 조성이 없어 확정할 수 없다(openQuestions 9번).</t>
  </si>
  <si>
    <t>도면 소재지(가평); 기존 파일 fc_thermal_subsystem 동결 방지 참조. 가평 설계 최저기온은 unknown</t>
  </si>
  <si>
    <t>혼상 이온교환수지(MBP) 소진 — 실리카 선파과 후 전도도 급상승</t>
  </si>
  <si>
    <t>제품 초순수 전도도가 0.1 µS/cm 보증선에 서서히 접근하다가 어느 시점부터 기울기가 급해진다. 실리카(SiO2)가 전도도보다 먼저 새어나온다. 교체 사이 누적 통수량(polisher.volume.total)이 직전 카트리지들보다 짧아진다.</t>
  </si>
  <si>
    <t>① 제품 전도도의 최근 7일 Theil-Sen 기울기[µS/cm/day]를 구해 한계(0.1 µS/cm) 도달 예상일을 선형 외삽 → 잔여수명 일수로 표시. ② 같은 통수량 구간(예: 누적 100 m3 지점)에서의 전도도를 과거 N개 카트리지 중앙값과 비교, +30 % 이상이면 수지 조기소진으로 판정. ③ 실리카 샘플값이 3 µg/L(ASTM Type I·II 한계)를 넘으면 전도도가 아직 정상이어도 파과 경보를 올린다(Veolia: 실리카 파과가 전도도 파과에 선행).</t>
  </si>
  <si>
    <t>수지 교체 직후 세척 부족으로 생기는 일시적 전도도 스파이크(수 시간~1일), 급수 온도 변화에 의한 온도보상 오차, 전도도 셀 오염, 장기 정지 후 재기동 시 정체수 배출 구간.</t>
  </si>
  <si>
    <t>① 예비 수지 발주 리드타임 확보(동해 규격은 소모품을 2년치 옵션으로 별도 조달). ② 실리카·TOC 랩 분석으로 파과 유형 확인. ③ 전도도가 예상보다 빨리 오르면 원인을 상류(RO 성능 저하·원수 악화)에서 먼저 찾는다 — 수지만 바꾸면 다음 주기가 더 짧아진다.</t>
  </si>
  <si>
    <t>수처리 [[17, 11, 1, 10]]</t>
  </si>
  <si>
    <t>RO 막 오염·스케일링(NPF 저하 / 차압 상승 / 염제거율 저하)</t>
  </si>
  <si>
    <t>온도·압력·회수율로 정규화한 투과유량(NPF)이 기준 대비 10 % 이상 감소, 정규화 차압 10~15 % 이상 증가, 정규화 염통과율 5~10 % 이상 증가 중 하나 이상이 지속.</t>
  </si>
  <si>
    <t>ASTM D4516 방식으로 투과유량·염통과·차압을 표준조건(25 °C, 설계 압력·회수율)으로 환산한 뒤, 시운전 후 48~72 h 안정 구간을 기준선으로 잡아 상대 변화를 본다. 세 지표의 조합으로 원인을 가른다: 차압만 오르면 입구 막힘(입자·바이오), 투과유량만 줄면 표면 파울링, 염통과만 오르면 막 열화·O-ring 누설.</t>
  </si>
  <si>
    <t>수온 하강(겨울철 투과유량은 온도만으로도 크게 감소 — 정규화 없이 보면 무조건 오염으로 보인다), 공급 TDS 변동, 회수율 설정 변경, 유량계·압력계 교정 이탈, 세정 직후 기준선 미갱신.</t>
  </si>
  <si>
    <t>① 기준을 넘으면 즉시 CIP 계획. NPF가 30 % 떨어질 때까지 기다리면 표준 세정으로 회복되지 않는다(WaterTechOnline 사례: 93일 방치 시 투과유량 45 % 저하, 극약처방 세정 후에도 염통과 영구 상승). ② 스케일 의심이면 연수기 경도 누출을, 바이오파울링 의심이면 활성탄 여과기 잔류염소 제거 과잉과 정체를 먼저 점검. ③ 실리카 농축수 농도를 계산해 150 mg/L를 넘으면 회수율을 낮춘다.</t>
  </si>
  <si>
    <t>수처리 [[13, 14, 18, 11]]</t>
  </si>
  <si>
    <t>연수기 재생 실패 → RO 탄산칼슘 스케일</t>
  </si>
  <si>
    <t>연수 후단 경도가 설계 2 mg/L(as CaCO3)를 넘어 Max 5 mg/L에 접근. 이어서 RO 차압 상승과 NPF 저하가 따라온다. NaCl 소금통 잔량이 예상보다 늦게 줄거나 재생 사이클 후 경도가 회복되지 않는다.</t>
  </si>
  <si>
    <t>① 경도 실측(수기 또는 온라인)이 5 mg/L 초과 시 즉시 경보. ② 재생 주기 사이 누적 처리수량과 원수 경도를 곱한 누적 경도부하가 설계 교환용량을 넘었는데 재생 이벤트가 없으면 재생 로직 이상으로 판단. ③ 경도 계측이 없는 사이트에서는 RO 차압 상승 속도와 RO 투과수 전도도가 동시에 악화되는 패턴을 대리 지표로 쓴다.</t>
  </si>
  <si>
    <t>샘플링 위치 오류(재생 직후 정체수), 경도 시약 유효기간, 원수 경도의 계절 변동(동해 규격도 계절 변동을 설계에 반영하라고 명시), 자동 멀티포트 밸브의 위치 피드백 부재.</t>
  </si>
  <si>
    <t>① NaCl 잔량·염수 흡입(에덕터) 점검, 멀티포트 밸브 동작 확인(동해 규격은 활성탄·연수기용 예비 밸브를 각각 1개씩 요구). ② 재생 주기를 원수 경도 실측에 맞춰 재설정. ③ 이미 RO에 스케일이 있으면 산 세정.</t>
  </si>
  <si>
    <t>수처리 [[11, 18, 13]]</t>
  </si>
  <si>
    <t>전처리 필터·활성탄 여과기 폐색으로 급수 유량 부족</t>
  </si>
  <si>
    <t>전처리 차압 상승, RO 고압펌프 흡입압 저하(동해 규격의 PS 1점이 잡는 지점), 급수 유량(FT-101)이 설정값 0.5 m3/h 아래로 떨어지고 DI 탱크 수위가 서서히 하강.</t>
  </si>
  <si>
    <t>① 필터 차압의 일간 최대값 추세(Theil-Sen)가 정격 교체 차압에 도달하는 날짜를 외삽. ② 같은 펌프 회전수에서의 유량/펌프전력 비를 보조 지표로 사용. ③ 급수 유량 저하가 지속되면 수전해 급수 상실 경로로 에스컬레이션 — KGS AH271 3.3.1.2(1-6)은 물·수용액 유량이 현저하게 낮은 경우 비상정지를 의무화한다.</t>
  </si>
  <si>
    <t>역세(backwash) 진행 중의 정상적 차압·유량 변동, 수온 하강에 따른 점도 증가, 원수 공급압(설계 3~5 barg) 변동, 하류 수요 감소에 의한 정상적 유량 감소.</t>
  </si>
  <si>
    <t>① 역세 주기 단축 또는 필터 교체(동해 규격은 RO 마이크로필터 예비를 교환 2회분 확보하도록 요구). ② 원수측 이물 유입원(공사·단수 후 탁도 상승) 조사. ③ 급수 유량 하한 인터록은 분석 결과와 무관하게 PLC가 처리해야 한다.</t>
  </si>
  <si>
    <t>수처리 [[12, 11, 8]]</t>
  </si>
  <si>
    <t>DI 물탱크 수위 이상 — 누수(하강) 또는 과공급·오버플로우(상승)</t>
  </si>
  <si>
    <t>물수지 잔차가 0이 아니다. 즉 적산(급수+재순환) − 적산(스택 소비 + 측정된 드레인) − Δ(탱크 재고)가 계통적으로 한쪽으로 쌓인다. 누수면 정지 중에도 수위가 내려가고, 과공급이면 고수위 스위치가 반복 동작한다.</t>
  </si>
  <si>
    <t>① 정지(비운전) 구간만 골라 수위 감소율[%/h]을 본다 — 운전 중 소비와 섞이지 않는 가장 깨끗한 창(기존 tank-static-leak 탐지기와 같은 발상). 20 m3 탱크에서 0.05 %/h(=10 L/h)만 새도 하루 240 L다. ② 운전 구간에서는 물수지 잔차를 누적해 CUSUM으로 본다. 잔차 누적이 급수량의 2 % 이상이면 경보. ③ 수위계 온도영향·거품층을 배제하려 고·저수위 스위치(디지털) 동작과 교차확인.</t>
  </si>
  <si>
    <t>정전식·초음파 수위계의 온도 드리프트와 응결, 탱크 통기구 막힘에 의한 부압, 수지 교체/드레인·역세 이벤트(계획된 배수를 누수로 오인), 유량계 영점 드리프트(0.5 m3/h 저유량 영역은 전자유량계 정확도가 나빠지는 구간), 수위계 고착(flatline).</t>
  </si>
  <si>
    <t>① 정지 중 하강이 확인되면 배관·플랜지·드레인 밸브 육안 점검과 밸브 시트 누설 시험. ② 과공급이면 급수 밸브 인터록(동해 규격의 Service Water Tank 수위 연동 공압 on/off 밸브)과 수위 설정값 확인. ③ KGS AH271 3.2.3.2가 요구하는 넘침 방지 구조 상태 점검.</t>
  </si>
  <si>
    <t>수처리 [[12, 11]]</t>
  </si>
  <si>
    <t>수소 kg당 물 소비 원단위 상승</t>
  </si>
  <si>
    <t>L/kg H2 원단위가 기준선(도면 환산 11.1, 상용 사양 9 L/kg) 대비 계통적으로 상승. 전도도·RO 지표는 정상인데 원단위만 오르면 물리적 손실(누수·드레인 과다·퍼지)이고, RO 회수율 저하가 동반되면 전처리 문제다.</t>
  </si>
  <si>
    <t>① 주 단위 적산으로 SWC = Δwater.volume.total[L] / Δh2.mass.total[kg]를 계산. ② 부하율 bin(10 % 단위)과 계절(수온) bin으로 나눠 과거 동일 bin 중앙값과 비교, +10 % 이상 4주 연속이면 경보. ③ 원단위를 성분 분해해 어디가 늘었는지 본다: 화학양론(8.93 L/kg, 고정) + 가스 반출 순손실(30 bar 기준 약 0.11 L/kg) + 전처리 배출(회수율로 결정) + 물리 손실(잔차).</t>
  </si>
  <si>
    <t>수소 유량계·질량 적산의 드리프트(분모 오차가 그대로 원단위 오차), 저부하·간헐운전 비중 증가(기동 시 드레인·세척수 비중이 커진다 — 태양광 연계 사이트의 구조적 특성), 정지 기간 중 순수기 자체 소비(역세·린스)를 수소 생산에 배분하는 계산 오류, 외부 반입 수소를 분모에 넣는 오류(이 사이트는 FC 소비 1,340 &gt; 생산 500 Nm3/h로 외부 반입 전제).</t>
  </si>
  <si>
    <t>① 원단위 상승분을 L/day로 환산해 용수 비용(제주 2022년 $0.35/ton 수준)과 물수지 잔차로 함께 제시. ② 분모(수소 적산) 신뢰도를 먼저 검증한 뒤 분자 조사. ③ 기동 횟수 증가가 원인이면 설비 조치가 아니라 운전 스케줄 조정으로 안내.</t>
  </si>
  <si>
    <t>수처리 [[5, 6, 16, 7]]</t>
  </si>
  <si>
    <t>재순환(응축수 회수) 회수율 저하</t>
  </si>
  <si>
    <t>설계 0.3 m3/h 대비 재순환 유량이 감소하고, 같은 수소 생산량에서 급수(FT-101)는 늘어난다. 기액분리기 수위 변동 폭이 커지거나 드레인 밸브 동작 횟수가 비정상.</t>
  </si>
  <si>
    <t>① 회수율 RR = 적산(recycle) / (적산(feed) + 적산(recycle))을 부하율 bin별로 추적, 기준 대비 -20 % 이상이면 경보. ② 급수 증가분과 재순환 감소분이 1:1로 상쇄되는지 확인 — 상쇄되면 회수 경로 문제, 상쇄되지 않으면 누수 쪽. ③ 가스측 수분 반출량은 압력·온도의 함수이므로(30 bar 기준 DOE 0.074 gal/kg) 운전 압력 변화를 먼저 보정.</t>
  </si>
  <si>
    <t>운전 압력·온도 변경(압력이 낮아지면 가스가 실어가는 수분이 늘어 회수 대상 자체가 변한다), 재순환 유량계 부재 시 추정값 사용, 기액분리기 레벨 제어 방식(연속 vs 배치 드레인) 차이로 순시값이 크게 흔들리는 구간, 냉각수 온도 상승으로 응축기 성능이 계절적으로 떨어지는 경우.</t>
  </si>
  <si>
    <t>① 기액분리기 드레인 밸브 시트·액추에이터 점검, 레벨 스위치 교정. ② 응축기 냉각수 온도·유량 확인. ③ 산소측 수분은 애초에 회수하지 않는 설계가 흔하므로(DOE 가정) 회수 대상 범위를 도면으로 확정한 뒤 목표치를 잡는다.</t>
  </si>
  <si>
    <t>수처리 [[6, 8]]</t>
  </si>
  <si>
    <t>DI 탱크 정체·CO2 침투에 의한 전도도·TOC 상승</t>
  </si>
  <si>
    <t>탱크 출구 전도도가 MBP 출구 전도도보다 뚜렷이 높다. 저부하·정지가 길었던 다음날 아침에 특히 크고, 재가동 후 수 시간이면 돌아온다. TOC 샘플값도 같이 오른다.</t>
  </si>
  <si>
    <t>① MBP 출구와 탱크 출구 전도도의 차(Δ)를 상시 계산해 Δ &gt; 0.05 µS/cm가 지속되면 경보. ② 탱크 체류시간(= 탱크 재고 ÷ 급수 유량, 설계 20 m3 ÷ 0.5 m3/h ≈ 40 h)을 계산해 정체 시간과 Δ의 상관을 본다. ③ 대기 평형 CO2만으로도 순수 전도도는 이론 하한 0.055 µS/cm에서 1 µS/cm 수준까지 오를 수 있으므로 절대값이 아니라 Δ와 회복 시간으로 판정한다.</t>
  </si>
  <si>
    <t>전도도계 2대의 셀상수·교정 차이(Δ가 계측기 계통오차일 수 있다 — 두 계기를 정기적으로 교차 검증해야 한다), 탱크 하부 샘플링으로 인한 층화 효과, 수지 교체 직후 잔류 미분.</t>
  </si>
  <si>
    <t>① 통기구에 CO2 흡착/소수성 벤트 필터 적용 검토(동해 규격은 CO2 오염방지 설비를 공급자 판단에 맡기되 MBP 후단 0.1 µS/cm 보증을 전제로 함). ② 탱크 용량 대비 실제 소비가 작으면 순환(recirculation) 라인으로 정체를 줄인다. ③ 수질 초과 시 탱크로 되돌려 재처리하는 순환 인터록이 살아 있는지 확인.</t>
  </si>
  <si>
    <t>low</t>
  </si>
  <si>
    <t>수처리 [[11, 10, 15, 22]]</t>
  </si>
  <si>
    <t>정체수·저유량 구간의 미생물·바이오필름(원수~RO 전단 중심)</t>
  </si>
  <si>
    <t>RO 차압이 압력 손실 위주로 오르고 세정 후에도 금방 재발. 활성탄 여과기 후단에서 특히 잘 생긴다(잔류염소가 제거된 유기물 풍부 구간). TOC와 입자수가 함께 오른다.</t>
  </si>
  <si>
    <t>① RO 차압 상승 속도가 CIP 직후에도 빠르게 회복되지 않으면 바이오파울링 쪽으로 가중. ② 저유량·정지 시간 비중(운전 듀티)과 차압 상승 속도의 상관을 본다. ③ 미생물 자체는 온라인 계측이 사실상 없으므로 배양 샘플 결과를 수기 입력 채널로 받아 이벤트 상관분석에 쓴다.</t>
  </si>
  <si>
    <t>EUROWATER는 전해조 계통 자체는 바이오파울링 위험이 매우 낮아 정제 루프의 UV가 대개 불필요하다고 본다 — 즉 이 고장모드는 스택 루프가 아니라 원수~전처리 구간에 한정된다. 전해조 루프 전도도 상승을 미생물 탓으로 돌리면 오진이다. 그 밖에 수온 상승(여름), 역세 중단.</t>
  </si>
  <si>
    <t>① 활성탄 여과기 역세 주기 준수, 장기 정지 시 계통 배수 또는 순환. ② 바이오 의심 시 알칼리 세정(고 pH) 우선. ③ 태양광 연계로 야간·우천 정지가 길어지는 사이트는 정지 중 순수기 순환 운전을 운전 절차에 넣는다.</t>
  </si>
  <si>
    <t>수처리 [[10, 8, 22]]</t>
  </si>
  <si>
    <t>애노드 루프 전도도 상승 — BoP 금속 용출·불소 이탈에 의한 스택 오염 경로</t>
  </si>
  <si>
    <t>정제기 하류 루프 전도도가 0.1 µS/cm대에서 서서히 올라 1.0 µS/cm 운전기준에 접근. 급수(MBP 출구) 전도도는 정상인데 루프만 오른다. 수지 교체 주기가 짧아진다.</t>
  </si>
  <si>
    <t>① 급수 전도도와 루프 전도도의 차로 전해조 내부 발생 오염을 분리한다(EUROWATER 모델: 오염원은 원수·전해조 방출·전해조 변형 3종). ② 물 이용률이 높을수록 오염이 농축된다 — 이용률 90 %면 10배, 99 %면 100배. 따라서 저유량 운전 구간에서 전도도가 튀는 것은 정상 물리이므로 유량 정규화가 필수. ③ 전도도만으로는 종을 구분할 수 없으므로 불소·금속 이온 샘플 분석과 병행(JRC도 이온선택전극 상시감시는 선택사항으로 둔다).</t>
  </si>
  <si>
    <t>전도도계 온도보상 오류(초순수는 약 5.5 %/°C), 수지 교체 직후 미분 유출, 기동 직후 정체수, 배관 신규 설치 후 초기 용출(정상적 감쇠 구간).</t>
  </si>
  <si>
    <t>① 정제 루프(측류) 크기가 DI 루프 유량의 1~5 % 범위에 있는지 설계 확인 — 목표 전도도가 낮을수록 측류를 키워야 한다. ② 루프 재질(스테인리스·티타늄) 부적합 구간 조사. ③ 스택 셀전압 상승과 상관이 확인되면 수지 즉시 교체 후 제조사 회복 절차 문의.</t>
  </si>
  <si>
    <t>수처리 [[10, 9, 20]]</t>
  </si>
  <si>
    <t>전도도계 드리프트·오염·온도보상 오류(계측 신뢰성)</t>
  </si>
  <si>
    <t>전도도가 이론 하한 0.055 µS/cm보다 낮게 읽히거나, 급수 온도와 전도도가 뚜렷한 상관을 보이거나(온도보상 실패), 값이 수 시간 이상 완전히 고착된다.</t>
  </si>
  <si>
    <t>① 물리적 불가능 검사: 25 °C 환산값 &lt; 0.055 µS/cm면 즉시 계측 이상. ② 온도-전도도 상관계수가 절대값 0.7을 넘으면 온도보상 설정 오류 의심(초순수는 비선형 보상이 필요하며 단일 계수 선형보상으로는 맞지 않는다). ③ 고착 판정: 카탈로그의 flatlineMaxS 체계를 적용하되 정지 구간은 제외. ④ 두 대(RO 후단·MBP 후단) 값의 물리적 순서(RO &gt; MBP)가 뒤집히면 둘 중 하나가 고장.</t>
  </si>
  <si>
    <t>정상적으로 매우 안정한 초순수 전도도를 고착으로 오인(수지 교체 직후 안정기), 정지 중 정체수, 셀상수 교정 직후의 계단 변화.</t>
  </si>
  <si>
    <t>① 교정은 100 µS/cm 표준액으로 하고 저농도 표준액(5~25 µS/cm)은 쓰지 않는다 — NIST 표준액도 그 구간 불확도가 ±8.3~2.4 %에 이른다. ② 유량셀 내 기포는 전도도를 올리므로 샘플 라인 통수 확인. ③ 계측 이상 판정이 나면 그 기간의 수질 기반 탐지 결과를 전부 보류(게이트).</t>
  </si>
  <si>
    <t>수처리 [[15, 20, 1]]</t>
  </si>
  <si>
    <t>동절기 동결 — 물탱크·급수 배관</t>
  </si>
  <si>
    <t>급수 온도(TT-303)가 5 °C 아래로 내려가고 야간 최저기온이 영하. 급수 유량 감소와 압력 변동이 동반되며, 최악의 경우 배관 파손 후 급수 상실.</t>
  </si>
  <si>
    <t>① 급수 온도 최저값과 외기 온도의 시계열로 동결 위험 시간(온도 3 °C 미만 지속 시간)을 집계. ② 유량 저하와 온도 하강이 동시에 나타나면 동결 초기로 분류. ③ 정지 기간이 길고 기온이 낮은 날에 사전 경고를 낸다(태양광 연계로 겨울 야간 장시간 정지가 잦음).</t>
  </si>
  <si>
    <t>온도계 위치가 폐열회수(HX-301)로 예열된 지점이면 실제 옥외 배관 온도를 대표하지 못한다(TT-303 태그 위치 확정 필요), 히팅 케이블 동작 중 국부 온도 상승.</t>
  </si>
  <si>
    <t>① 보온·열선(electric tracing)과 방열기 동작 확인 — 동해 규격도 컨테이너 벽체 보온과 동파 방지 방열기를 공급범위에 명시한다. ② 장기 정지 시 배수 절차. ③ 국내 설계 최저기온(동해 사례 -13 °C)을 가평 사이트 값으로 대체해 임계 재설정.</t>
  </si>
  <si>
    <t>수처리 [[11, 8]]</t>
  </si>
  <si>
    <t>태양광·ESS 연계 간헐운전에 의한 수처리 설비 저듀티 열화</t>
  </si>
  <si>
    <t>수전해가 하루 수 시간만 도는 사이트에서 순수기도 같이 서고, 정지 중 배관·막·수지가 정체된다. 재기동 때마다 초기 배수·린스로 물이 나가고 전도도가 튄다.</t>
  </si>
  <si>
    <t>① 운전 듀티(일간 운전시간 비율)와 (a) 기동당 초기 전도도 회복시간, (b) 기동당 배수량, (c) 재순환율을 상관 분석. ② 원단위 상승분 중 기동 관련 손실을 기동 횟수로 회귀해 분리한다. ③ 듀티가 낮은 달일수록 수지 교체 주기가 짧아지는지 확인(정체 오염 가설 검증).</t>
  </si>
  <si>
    <t>계절 일사량 변화에 의한 자연스러운 듀티 감소를 설비 이상으로 오인, ESS 평활 운전으로 듀티가 회복되는 구간과의 혼선, 유지보수 정지와 자연 정지의 미구분.</t>
  </si>
  <si>
    <t>① 정지 중 순수기 순환 운전 절차 도입(EUROWATER 관점에서 전해조 루프의 바이오 위험은 낮지만 전처리 구간은 정체에 취약). ② 초기 배수량을 기록해 원단위 계산에서 분리. ③ ESS 평활 운전 설정을 물 소비·수지 수명 관점에서도 평가 — 이 사이트는 ESS 2.0 MWh가 수전해 전력 평활용이므로 듀티 정책이 곧 수처리 수명 정책이 된다.</t>
  </si>
  <si>
    <t>수처리 [[10, 7]]</t>
  </si>
  <si>
    <t>감압밸브 시트 누설(leak-by) → 락업 크리프</t>
  </si>
  <si>
    <t>연료전지 정지·하류 무유량 상태에서 출구압(PT-202)이 설정압 위로 '안정되지 않고' 계속 상승. 심하면 하류 PSV 작동·방출관 온도 상승·검지기 저농도 에피소드 동반.</t>
  </si>
  <si>
    <t>무유동 확정(FT-301 &lt; 검출한계 AND FC 정지 AND 상류 차단밸브 개방 AND 하류 격리) 후 30분 이상 hold 구간에서 PT-202의 Theil–Sen 기울기 계산. 하류 체적 0.5 m³·0.8 bar(g) 가정 시 시트 누설 1 NL/min(5.4 g/h)은 약 131 mbar/h, 0.1 NL/min은 약 13 mbar/h를 만든다(Abel–Noble 계산). 0~4 bar·0.075 %FS 전송기(3 mbar)라면 0.1 NL/min도 30분 내 유의하게 검출된다. 현장 확정 판정은 발포액(버블), 휴대용 수소 검지기, 초음파 누설 검지기(가압계통 약 2 bar 이상에서 유효)를 병행한다.</t>
  </si>
  <si>
    <t>(1) 공급압 효과(decaying inlet): 버퍼 압력이 내려가면 단단 조정기의 출구 설정압은 오히려 '올라간다'. Tescom 판별법 — 압력이 설정압보다 몇 % 높은 값에서 '안정되면' 공급압 효과, 계속 상승하면 시트 누설. (2) 밀폐된 하류 배관의 온도 상승에 의한 가스 팽창. (3) 연료전지 정지 직후 과도(퍼지·잔압 균형). (4) 하류 체적이 밸브 구성에 따라 달라져 크리프율 절대값 비교가 무의미해지는 경우.</t>
  </si>
  <si>
    <t>① 하류 격리 후 30~60분 재시험으로 재현성 확인. ② 재현되면 상류 필터·스트레이너 분해점검(이물이 최대 원인) 후 시트·포핏 교체. ③ 교체 전까지 연료전지 정지 시 버퍼 인출 차단밸브를 닫아 하류 과압을 막고, 하류 PSV 설정·건전성 확인. ④ 타이드 다이어프램(positive-seal) 형식으로 교체를 검토 — 크리프가 생기면 오히려 시트를 더 눌러 막는 구조다.</t>
  </si>
  <si>
    <t>감압·버퍼 [[3, 1, 5, 19]]</t>
  </si>
  <si>
    <t>단단(single-stage) 감압 구성의 공급압 효과 과다 — 설계·선정 부적합</t>
  </si>
  <si>
    <t>버퍼 압력이 30 → 10 bar로 내려가는 동안 FC 입구압이 설정압 대비 단조 상승. 입구압과의 상관계수가 −1에 가까움.</t>
  </si>
  <si>
    <t>hold 구간이 아니라 '정상 운전' 구간에서 (P_out − P_set) 대 P_in 회귀. 기울기[mbar/bar]가 곧 공급압 효과 계수. Tescom 실측 등급으로 환산하면 버퍼 30 → 5 bar(=362.6 psi 강하) 구간에서 7 psi/100 psi 급은 +1.75 bar(설정 0.8 bar의 219 %), 1.5 psi/100 psi 급은 +0.375 bar(47 %), 고평형형 0.1 psi/100 psi 급은 +0.025 bar(3 %) 상승한다.</t>
  </si>
  <si>
    <t>유량 변화에 의한 드룹과 뒤섞임 — 반드시 유량 bin을 고정하고 비교해야 한다. 설정압 재조정 이력이 없으면 기울기 추정이 오염된다.</t>
  </si>
  <si>
    <t>① 2단 감압(예: 30 → 4~6 bar → 0.8 bar) 또는 파일럿/돔 로딩형·평형 주밸브형으로 구성 변경을 권고. ② 변경 전까지는 버퍼 운용 하한을 높게 잡아(예: 8 bar) 입구압 변동폭 자체를 줄인다. ③ 하류 PSV 설정압과 연료전지 최대 허용 입구압이 최악 공급압 효과 상승분을 견디는지 검증.</t>
  </si>
  <si>
    <t>감압·버퍼 [[3, 10, 11]]</t>
  </si>
  <si>
    <t>드룹(droop) 증가 — 로드 스프링 피로·시트 마모·상류 필터 막힘</t>
  </si>
  <si>
    <t>같은 유량에서 출구압 하락폭이 커짐. 연료전지 정격 부하 진입 시 입구압 부족 알람.</t>
  </si>
  <si>
    <t>유량 bin(예: 0~20/20~50/50~80/80~100 % 정격)별 median(P_set − P_out)를 월 단위로 추세 비교. 같은 bin·같은 입구압 구간끼리만 비교. 필터 차압(PDI-201) 동반 상승이면 원인은 필터. 드룹은 입구압이 낮을수록 악화되므로 입구압 정규화가 필수(Tescom 예시: 같은 유량에서 P1 3500→500 psi로 낮추면 드룹이 32→52 psi로 악화).</t>
  </si>
  <si>
    <t>버퍼 압력이 낮은 날(저일사 후)의 드룹 악화는 정상 특성. 유량계 영점 드리프트. 히스테리시스 — 유량 증가 방향과 감소 방향의 드룹이 다르다.</t>
  </si>
  <si>
    <t>① 필터 차압이 기준 초과면 필터 먼저 교체. ② 필터 정상인데 드룹만 악화되면 스프링·시트 점검(로우드룹 보닛 적용 검토). ③ 정격 유량에서 드룹이 커져 FC 최소 공급압을 침범하면 즉시 부하 제한.</t>
  </si>
  <si>
    <t>감압·버퍼 [[3, 2]]</t>
  </si>
  <si>
    <t>헌팅·채터링(불안정) — 과대 사이징, 배관 난류, 하류 체적 부족, 계측관 위치 불량</t>
  </si>
  <si>
    <t>출구압이 설정압 주위에서 지속 진동. 소음·진동. 부하 급변 직후 시작되는 경우가 많다.</t>
  </si>
  <si>
    <t>PLC에서 1 s 샘플링으로 1분 피크-피크(h2.pressure.ripple)와 표준편차를 산출해 올린다. 60 s 샘플링만으로는 원리적으로 판정 불가. 유량 bin별 ripple의 P95가 기준 대비 증가하면 경고. 현장에서는 하모닉 공진(보닛에서 나는 '쉬익' 소리, 비파괴적)과 다이어프램 누설을 보닛 포트 거품시험으로 구분한다 — 연속 기포면 다이어프램 누설, 기포 없으면 하모닉 공진. 내부 마찰에 의한 공진(큰 채터 소음·진동·출구압 급변)은 파괴적이므로 즉시 조치.</t>
  </si>
  <si>
    <t>연료전지 퍼지 주기에 동기된 정상 압력 변동(퍼지 카운터와 상관 확인). 유량계·전송기 노이즈. 부하 램프 구간.</t>
  </si>
  <si>
    <t>① 적정 사이징 재확인(과대 사이징이 가장 흔한 원인). ② 하류 직관길이 확보·완충 체적 추가, 계측관(센싱 라인) 위치 조정, 내부/이중 레지스트레이션형 채택. ③ 지속되면 안정화 카트리지 또는 파일럿형으로 교체. ④ 채터 이력은 시트·다이어프램 수명 소모로 기록해 정비 우선순위에 반영.</t>
  </si>
  <si>
    <t>감압·버퍼 [[4, 3, 2]]</t>
  </si>
  <si>
    <t>다이어프램 피로·파단, 씰 급속감압(RGD) 손상</t>
  </si>
  <si>
    <t>보닛 방출구에서 지속 수소 방출(검지기 저농도 에피소드 반복), 압력 제어 상실, 락업 불능, 출구압 급락 또는 급등.</t>
  </si>
  <si>
    <t>GD-PRV 저농도 에피소드 빈도 + 압력 제어 상실 동시 발생. 보닛 포트 거품시험에서 '연속 기포'면 다이어프램 누설. 크리프가 진행되면 다이어프램이 파열될 수 있으므로 크리프 경보는 다이어프램 보호 관점에서도 조기에 울려야 한다.</t>
  </si>
  <si>
    <t>하모닉 공진 소리를 누설로 오인. 주변 설비 누설의 검지기 교차 검출(같은 구역 peer 비교 필요).</t>
  </si>
  <si>
    <t>① 즉시 격리·교체. ② 씰 재질 재검토 — NBR은 수소 투과율이 높고 급속감압 파괴(블리스터·찢어짐)에 취약, PCTFE는 불소수지 중 투과율이 가장 낮아 누설 최소화에 유리, PEEK는 동적 씰에 적합. ③ 릴리프식 안전장치가 내장된 조정기를 건축물 내에 설치하는 경우 가스방출구를 실외 안전장소로 배관(KGS FU671 2.4.6.2(4)).</t>
  </si>
  <si>
    <t>감압·버퍼 [[3, 17, 18, 9]]</t>
  </si>
  <si>
    <t>하류 과압안전장치(PSV) 시머링·설정압 이동</t>
  </si>
  <si>
    <t>하류 압력이 설정압 근처에서 머무르며 방출관 온도 소폭 상승, 버퍼 온도보정 질량이 소비량보다 빠르게 감소.</t>
  </si>
  <si>
    <t>vent.temp 상승 + 검지기 에피소드 + 물질수지 잔차 양(+)의 3중 일치. 정기 작동시험에서 설정압 편차 추적. 주의 — API 527의 '10 cm³/h/in(호칭 1 in 초과)·10 cm³/h(1 in 이하)'는 물(액체) 시험 기준이며, 수소처럼 기체(공기·질소) 시험을 하는 경우 금속시트 허용치는 단일 수치가 아니라 설정압과 유효 오리피스 크기에 따른 기포수(bubbles/min) 표로 주어진다. 본 사이트 PSV의 오리피스·설정압 조합에 해당하는 값은 API 527 원문 Table 1을 구해야 확정된다(현재 unknown). 소프트시트는 1분간 누설 없음이며 시험압력은 설정압의 90 % 또는 설정압 −5 psig 중 높은 쪽이다.</t>
  </si>
  <si>
    <t>외기 온도 상승에 의한 방출관 온도 변화. 정상 분출 후 재착좌 과정. 수소는 감압 시 온도가 오르므로 '온도 상승 = 누설'로 단정하면 안 되고 질량수지와 함께 봐야 한다.</t>
  </si>
  <si>
    <t>① 방출 이벤트는 무조건 안전 이벤트로 기록. ② 시머링 의심 누적 시간이 기준을 넘으면 PSV 분해·작동시험. ③ 설정압·축적압력은 KGS FU671 2.8.1.5(화재 외 1개 설치 시 MAWP의 110 % 이하, 2개 이상 116 % 이하, 화재 시 121 % 이하)와 2.8.1.7(상용압력 초과 시 작동)을 재확인.</t>
  </si>
  <si>
    <t>감압·버퍼 [[14, 9, 3]]</t>
  </si>
  <si>
    <t>버퍼탱크·배관·피팅 미세누설(정지 중 압력 강하)</t>
  </si>
  <si>
    <t>인입·인출 밸브 폐쇄 hold 구간에서 온도·압축성 보정 질량이 지속 감소. 조작(밸브 여닫음) 전후에 검지기 저농도 에피소드가 반복.</t>
  </si>
  <si>
    <t>Abel–Noble 보정 질량 m(t)의 Theil–Sen 기울기. 30 bar·50 m³에서 누설 1 kg/h는 251 mbar/h, 0.1 kg/h는 25 mbar/h를 만든다. 불확실도 예산: 전송기 0.075 %FS(0~40 bar)=30 mbar, 온도오차 1 °C=102 mbar. 둘을 제곱합하면 107 mbar ≈ 0.43 kg. 따라서 창 길이 2 h면 검출한계 약 0.21 kg/h, 8 h면 0.053 kg/h, 24 h면 0.018 kg/h. 온도를 ±0.2 °C로 잡으면 2 h에서 0.072 kg/h까지 내려간다.</t>
  </si>
  <si>
    <t>(1) 온도 — 가장 큰 오탐원. (2) 압력 전송기 드리프트·고착. (3) 소비 중단으로 착각한 구간에 실제 미세 인출이 있는 경우(밸브 리크). (4) 게이지압/절대압 혼동 — 30 bar에서 1 atm 차이는 3.3 %.</t>
  </si>
  <si>
    <t>① 동일 온도 시점끼리 비교하는 '일일 같은 시각' 24 h 창을 기본으로 삼아 온도 항을 상쇄. ② 유의 판정 시 발포액·휴대용 검지기·초음파로 피팅·밸브 스템 확인, 토크 재조임 또는 씰 교체. ③ 확인 전까지 운전압력 하향 검토. ④ KGS FU671 2.4.4.2에 따라 정기검사 시 사용압력 이상에서 누출성능을 확인한다.</t>
  </si>
  <si>
    <t>감압·버퍼 [[6, 12, 9, 19]]</t>
  </si>
  <si>
    <t>압력 전송기 드리프트·고착 → 재고·누설 오판</t>
  </si>
  <si>
    <t>PT-201과 PT-202가 균압 구간(감압밸브 상·하류 균압, 또는 장시간 정지 후)에서 일정 오프셋. 24 h 분산 0(고착).</t>
  </si>
  <si>
    <t>균압 구간 교차검증 + 장기 분산 감시. 전송기 5년 설치 안정도는 ±0.125 %URL 수준(Rosemount 3051 사양)이므로 이를 초과하는 드리프트는 교정 대상. 드리프트 의심 구간의 누설 추정 결과에는 '신뢰도 낮음' 플래그를 붙여 알람을 억제한다.</t>
  </si>
  <si>
    <t>실제 유동 중의 배관 압손을 오프셋으로 오인. 스팬이 다른 두 전송기의 분해능 차이.</t>
  </si>
  <si>
    <t>교정 또는 교체. 교정 이력을 메타데이터로 보관하고 누설 KPI 그래프에 교정 시점을 표시한다.</t>
  </si>
  <si>
    <t>감압·버퍼 [[12]]</t>
  </si>
  <si>
    <t>버퍼 재고 고갈 — 구조적 수소 수지 부족</t>
  </si>
  <si>
    <t>연료전지 정격 운전 시 버퍼 압력이 시간당 20 bar 이상 하락. 도면 주석대로 수전해 생산 500 Nm³/h(44.9 kg/h) &lt; FC 소비 1,340 Nm³/h(120.4 kg/h)이므로 외부 반입 없이는 항상 순감소.</t>
  </si>
  <si>
    <t>h2.buffer.runtime = (m − m_min) / (소비율 − 생산율). 30 bar 만재에서 하한 3 bar까지의 가용량은 109.4 kg이며, 정격 단독 운전 시 0.91 h에 불과하다. 수전해가 동시 가동(44.9 kg/h)이면 순감소 75.5 kg/h로 1.45 h. 반입 리드타임(미확인)을 넘는 시점을 예보 알람으로 건다.</t>
  </si>
  <si>
    <t>부분부하 운전(소비율이 정격보다 낮음)을 정격으로 외삽. 태양광 예측 오차. Nm³ 기준온도 혼동(0 °C vs 15 °C에서 약 5.5 % 차이).</t>
  </si>
  <si>
    <t>① 가동여유 시간을 대시보드 1순위 지표로 올리고, 외부 수소 반입 리드타임 대비 안전계수 2배 시점에 경보. ② 하한 압력은 감압밸브가 필요로 하는 최소 차압으로 결정해야 하며(제조사 유량곡선 필요), 공급압 효과를 고려하면 실질 하한을 더 높게 잡는 편이 안전하다. ③ 발전 계획 수립 시 '버퍼는 1시간 완충장치이지 저장설비가 아니다'를 전제로 한다.</t>
  </si>
  <si>
    <t>감압·버퍼 [[6, 3]]</t>
  </si>
  <si>
    <t>겨울철 결빙·수분 응축에 의한 시트 고착 — 단, 줄-톰슨 동결은 수소에 해당하지 않음</t>
  </si>
  <si>
    <t>저온기에 국한된 조절 불량·락업 불능. 감압부 표면 착상.</t>
  </si>
  <si>
    <t>외기온 5 °C 이하 구간에 한정된 편차 증가를 계절 게이트로 판정. 수소·헬륨은 상온 팽창 시 오히려 온도가 오르므로(줄-톰슨 역전온도 약 200 K), '감압부가 얼었다'면 원인은 잔류 수분 또는 외기이지 줄-톰슨 냉각이 아니다. 수전해 출구 건조기(이슬점 목표 −70 °C)의 이슬점 열화를 함께 본다.</t>
  </si>
  <si>
    <t>줄-톰슨 냉각을 원인으로 오진단(수소에는 적용되지 않음). 착상이 실제로는 외부 누설에 의한 국부 냉각인 경우.</t>
  </si>
  <si>
    <t>① 건조기 이슬점·재생 주기 점검. ② 조정기는 직사광선·빗물을 피한 실외 설치가 원칙이며, 부득이한 실내 설치는 환기 양호한 장소(KGS FU671 2.4.6.1). 격납상자 사용 시 히팅·배수 확인. ③ 수전해설비는 5 °C 이하에서 자동 차단되도록 되어 있음(KGS FU671 2.4.5.1.6) — 연계 로직 확인.</t>
  </si>
  <si>
    <t>감압·버퍼 [[3, 9]]</t>
  </si>
  <si>
    <t>반입 기록 누락 (delivery_unlogged)</t>
  </si>
  <si>
    <t>저장 재고(h2.inventory)가 생산 유량으로 설명할 수 없는 속도로 증가했는데 같은 날짜 원장에 delivered = 0 또는 전표가 없다. 하역 상태 코드도 '하역중'을 지나지 않았다.</t>
  </si>
  <si>
    <t>일별 원장에서 stored_delta − produced_from_meter &gt; 임계(예: 시간당 최대 생산량 × 1.5) 구간을 이벤트로 잘라내고, 같은 구간에 h2.delivery.mass.total 증가 또는 h2.import.invoice.mass 레코드가 있는지 조인. 없으면 '기록 없는 재고 증가' finding.</t>
  </si>
  <si>
    <t>① 야간 냉각으로 탱크 온도가 떨어지면 압력이 내려가는데, 온도 보정을 빠뜨린 재고는 반대로 요동친다. ② 수전해 적산계 통신 결측으로 produced가 0으로 기록된 날. ③ 정비 후 질소 퍼지·수소 치환으로 압력이 오른 구간. ④ 자정 경계에서 하역이 걸친 경우 이틀에 나뉘어 한쪽만 큰 값이 된다.</t>
  </si>
  <si>
    <t>하역 이벤트 구간(시각·수량·트레일러 번호)을 그대로 제시하고, 해당 날짜의 반입 전표 입력을 요청하세요. 전표가 정말 없으면 공급사에 납품확인서를 요청하고, 재고 급증이 하역이 아니었다면 온도 보정과 적산계 통신을 먼저 점검하세요.</t>
  </si>
  <si>
    <t>원장 식에 delivered 항이 없음 — lib/analytics/ledger/hydrogen.ts:10</t>
  </si>
  <si>
    <t>반입 전표-사이트 계량 불일치 (invoice_meter_mismatch)</t>
  </si>
  <si>
    <t>같은 하역 건에서 h2.delivery.mass.total 증가분과 h2.import.invoice.mass가 계속 한쪽으로 치우쳐 벌어진다(예: 전표가 항상 1~3% 많음).</t>
  </si>
  <si>
    <t>하역 건별 차이율 = (전표 − 사이트계량)/전표 × 100을 계산하고, 기준 구간 대비 중앙값 이동을 CUSUM으로 본다. 부호가 일정하면 계통오차, 무작위면 계량 잡음.</t>
  </si>
  <si>
    <t>① 계량 기준 차이 — 공급사는 출하 시 중량(트럭스케일) 또는 충전 시 계량, 사이트는 하역 계량이라 heel·호스 체적만큼 원래 다르다. ② Nm³ 기준조건(0 °C vs 20 °C) 차이로 약 7% 수준의 환산 차이가 날 수 있다. ③ 하역 벤트를 사이트 계량 뒤에서 하면 전표가 항상 많게 보인다. ④ 건수가 적으면 중앙값이 불안정하다.</t>
  </si>
  <si>
    <t>먼저 계약서의 계량 기준(질량 kg인지 Nm³인지, 기준조건, 계량 지점)을 확인해 '정의 차이'를 제거하세요. 그래도 한쪽으로 치우치면 사이트 계량기 교정성적서와 공급사 계량 근거를 맞대고, 차이율의 허용 범위를 계약에 명문화하세요.</t>
  </si>
  <si>
    <t>국내에서도 생산시설과 충전소 간 계량방식 차이가 문제로 지적되어 수소 질량유량계 교정설비 구축이 추진됨 — http://www.engjournal.co.kr/news/articleView.html?idxno=3258</t>
  </si>
  <si>
    <t>하역 계량기 드리프트 (delivery_meter_drift)</t>
  </si>
  <si>
    <t>하역 중 계량 적산량과, 같은 구간의 저장 재고 증가량(Z 보정) + 그 사이 소비량의 합이 이루는 비율이 서서히 변한다.</t>
  </si>
  <si>
    <t>하역 건마다 ratio = Δ(h2.delivery.mass.total) ÷ (Δ재고_Z보정 + 소비 적산 + 벤트 추정)을 계산하고, 기준 구간 중앙값 대비 변화폭을 본다(기존 h2chain.mass_balance_gap의 flowmeter_drift 체크와 같은 방식, 패러데이 기대치 대신 재고 증가를 기준으로 삼는다).</t>
  </si>
  <si>
    <t>① 하역 중 수용부가 압축열로 데워지면 재고 증가가 실제보다 작게 계산된다(온도센서 열지연). ② 상태식 선택(Abel–Noble vs NIST Lemmon 2008)에 따라 고압에서 약 0.5% 차이가 난다. ③ 코리올리는 저유량 컷오프 근처에서 오차가 커진다 — 하역 끝물 구간을 포함하면 비율이 흔들린다. ④ 하역 중 연료전지 부하 변동이 크면 소비 적산 오차가 섞인다.</t>
  </si>
  <si>
    <t>저유량 컷오프 이하 구간을 뺀 뒤 비율을 다시 보고, 그래도 변했으면 계량기 영점(zero) 재설정과 교정 이력을 확인하세요. 국내에는 수소 질량유량계 현장 교정 인프라가 갖춰지는 중이므로, 교정 주기와 기준기 소급성을 계약·O&amp;M 절차에 넣어두세요.</t>
  </si>
  <si>
    <t>OIML 기준 수소 유량계 최대허용오차 1.5%(등급 2)~2.0%(등급 4), 충전소 계량시스템 형식승인·검정 2~4% — http://www.procon.co.kr/bbs/board.php?bo_table=magazine_new&amp;wr_id=1036</t>
  </si>
  <si>
    <t>하역 중 방출 손실 과다 (unloading_vent_loss)</t>
  </si>
  <si>
    <t>하역 건수가 늘어난 기간에 물질수지 잔차가 같이 커진다. 호스 퍼지·연결/분리 횟수와 잔차의 상관이 높다.</t>
  </si>
  <si>
    <t>하역 건수(또는 연결·분리 사이클 수)와 일 잔차의 상관계수를 본다(기존 purge_vent_estimate 체크와 동일 패턴). 벤트 유량계가 있으면 h2.vent.mass.total 증가분을 직접 원장의 vented 항에 넣고 잔차가 줄어드는지 확인.</t>
  </si>
  <si>
    <t>① 하역이 몰린 날은 소비도 많은 날이라 상관이 가짜로 나올 수 있다 — 소비량을 통제한 편상관을 써야 한다. ② 벤트 추정을 '배관 체적 × 압력'으로 하면 배관 실측 체적이 틀린 만큼 통째로 편향된다. ③ 계절(외기 온도)에 따라 퍼지 절차 횟수가 달라진다.</t>
  </si>
  <si>
    <t>하역 1회당 방출량을 실측(또는 배관 체적·방출 전 압력으로 산정)해 원장 파라미터로 등록하고, 값이 크면 호스 체적 축소·잔압 회수(에바큐에이션) 절차 도입을 검토하세요. 방출은 반드시 고정식 벤트라인/벤트스택으로 보내야 합니다.</t>
  </si>
  <si>
    <t>EIGA/AIGA — 이송 중 방출은 호스 퍼지와 충전회로에 집중되며 고정식 벤트라인으로 배출 — https://www.asiaiga.org/uploaded_docs/en_AIGA_126_24_Guide_for_H2_Supply_Systems.pdf</t>
  </si>
  <si>
    <t>트레일러 잔류(heel) 정산 오류 (heel_settlement_error)</t>
  </si>
  <si>
    <t>출차 시점 트레일러 잔압·온도로 계산한 잔량과 전표의 '반환 잔량'이 계속 다르다. 또는 잔압 하한에 못 미쳐 하역을 멈췄는데 전표에는 전량 인수로 기재된다.</t>
  </si>
  <si>
    <t>분리 직전 h2.trailer.pressure·h2.trailer.temp와 트레일러 내용적(명판)으로 Z 보정 잔량을 계산하고 h2.import.heel.mass와 비교. 건별 차이의 중앙값과 부호를 추적한다. 회수율 = 하역량 ÷ (적재량 − 잔압상당량)도 함께 본다.</t>
  </si>
  <si>
    <t>① 트레일러 내용적(수용적) 명판값이 틀리거나 용기 수가 다르면 잔량 계산이 통째로 어긋난다. ② 하역 직후 트레일러는 팽창으로 차가워져 있어 압력이 낮게 보인다 — 열평형 전에 읽으면 잔량을 과소평가한다. ③ 트레일러별 압력계가 공급사 자산이라 교정 이력을 모를 수 있다.</t>
  </si>
  <si>
    <t>잔량 판정 시각을 '분리 후 N분(열평형 대기)'으로 절차에 고정하고, 트레일러 내용적·용기 수를 명판에서 받아 자산에 등록하세요. 회수율이 계약 전제보다 낮으면 수입 뱅크 추가나 잔압 하한 재협상으로 회수 가능분을 키우는 쪽이 단가 절감 효과가 큽니다.</t>
  </si>
  <si>
    <t>잔압 70 bar 기준 Type I 실운송 198 kg / Type IV 373 kg — https://www.h2news.kr/news/articleView.html?idxno=12352 ; 현장 회수율 80~85% 보고 — https://www.rein-hytec.com/market-trends/what-is-a-hydrogen-tube-trailer</t>
  </si>
  <si>
    <t>온도 보정 누락에 의한 겉보기 반입량 오차 (temp_compensation_error)</t>
  </si>
  <si>
    <t>잔차가 하역 중 온도 변화폭·일교차와 상관을 보인다. 특히 계절에 따라 반입 대조 차이의 부호가 바뀐다.</t>
  </si>
  <si>
    <t>기존 h2chain.mass_balance_gap의 temperature_compensation 체크를 하역 구간으로 확장: 하역 전후 수용부 온도 변화(ΔT)와 건별 대조 차이의 상관을 본다.</t>
  </si>
  <si>
    <t>① 표면 온도센서는 내부 가스 온도를 열지연을 두고 따라간다 — 상관이 있어도 원인이 센서 위치일 수 있다. ② 계량이 코리올리(질량 직독)면 온도 보정 문제는 재고 쪽에만 생긴다 — 원인 위치를 혼동하기 쉽다.</t>
  </si>
  <si>
    <t>코리올리 질량 계량이 있으면 반입량은 계량을 정답으로 두고, 상관이 나오는 쪽(재고 계산)의 센서 위치·열지연 모델을 고치세요. 체적·압력 기반 정산만 쓰고 있다면 온도 보정과 상태식을 명시적으로 계약에 넣어야 합니다.</t>
  </si>
  <si>
    <t>기존 탐지기의 동일 체크 — lib/analytics/detectors/h2chain-mass-balance.ts (temperature_compensation)</t>
  </si>
  <si>
    <t>반입 리드타임 초과·재고 고갈 (supply_stockout)</t>
  </si>
  <si>
    <t>가용 재고(버퍼 + 체류 트레일러) ÷ 최근 일평균 소비 = 여유일이 계약 리드타임 아래로 떨어진다. 또는 연료전지가 수소 부족으로 부하를 스스로 낮춘다.</t>
  </si>
  <si>
    <t>가용 재고 = Σ(Z 보정 재고 − 최소 인출 압력 상당량)을 계산하고, 최근 N일 소비 중앙값과 예정 발전 스케줄로 여유 시간을 추정. 리드타임(예: 발주→도착 24~48 h)과 비교해 경보.</t>
  </si>
  <si>
    <t>① 태양광 호조로 생산이 늘면 소비 대비 여유가 실제보다 길어진다 — 계절·일사 조건을 반영하지 않으면 과경보. ② 연료전지 출력 계획이 바뀌면 소비 중앙값이 곧 무의미해진다. ③ 체류 트레일러를 재고에 넣을지 말지에 따라 여유일이 몇 배 달라진다 — 정의를 고정해야 한다.</t>
  </si>
  <si>
    <t>이 사이트는 버퍼 120 kg이 연료전지 전부하 1시간분도 안 되므로, 체류 트레일러를 재고 정의에 포함할지부터 정하세요. 포함한다면 트레일러 잔압·내용적을 자산으로 등록하고, 포함하지 않는다면 여유일 KPI는 사실상 '다음 배송까지 남은 시간'이 됩니다.</t>
  </si>
  <si>
    <t>도면 값으로 계산한 버퍼 가용량(typicalValues 참조)</t>
  </si>
  <si>
    <t>계량 기준 불일치 (unit_basis_mismatch)</t>
  </si>
  <si>
    <t>전표는 Nm³, 사이트는 kg으로 기록되고 환산계수가 시스템마다 다르다. 또는 같은 kg인데 공급사는 출하 중량, 사이트는 하역 계량이다.</t>
  </si>
  <si>
    <t>데이터 품질 게이트: 반입 레코드의 단위·기준조건 필드가 비어 있거나 사이트 설정과 다르면 '판정 불능'으로 처리하고 대조 탐지기를 아예 돌리지 않는다.</t>
  </si>
  <si>
    <t>① 0 °C 기준과 15/20 °C 기준을 섞으면 약 5~7% 차이가 나는데, 이는 계량기 허용오차와 비슷한 크기라 '드리프트'로 오진하기 쉽다. ② 순도 보정(99.97% vs 100%) 유무도 0.03% 수준이지만 장기 누적되면 보인다.</t>
  </si>
  <si>
    <t>계약과 콘솔 모두 질량(kg)을 1차 단위로 고정하고, Nm³ 표기가 필요하면 기준조건(0 °C, 101.325 kPa)과 환산계수를 명시적으로 기록하세요. 도면의 Nm³ 표기도 기준조건이 적혀 있지 않으므로 발주처 확인이 필요합니다.</t>
  </si>
  <si>
    <t>Nm³는 0 °C·1 atm 기준, 수소 0.08988 kg/Nm³ — https://h2tools.org/hyarc/calculator-tools/hydrogen-conversions-calculator ; 국내 판매가격 보고는 kg 단위 — https://www.h2nbiz.or.kr/rt/uif/inf/infoSalePrice.do</t>
  </si>
  <si>
    <t>재고 경계 모호에 의한 이중계상 (inventory_boundary_ambiguity)</t>
  </si>
  <si>
    <t>체류 트레일러를 재고에 넣었다 뺐다 하면서 stored_delta가 한 번에 수백 kg 튀고, 잔차가 그날만 폭주한다.</t>
  </si>
  <si>
    <t>재고 정의(경계)에 버전을 붙이고, 경계가 바뀐 날은 원장에서 baselineReset으로 표시해 탐지기 기준 구간을 끊는다. 경계 변경 이벤트 없이 stored_delta가 트레일러 1대분 이상 점프하면 finding.</t>
  </si>
  <si>
    <t>① 트레일러 교체(빈 차 출차 + 새 차 입차)가 같은 날 일어나면 정상인데도 큰 점프로 보인다 — 교체 이벤트와 조인해야 한다. ② 수입 뱅크를 추가 설치한 시점 이후로는 경계 자체가 바뀐다.</t>
  </si>
  <si>
    <t>'사이트 재고 = 버퍼 + (수입 뱅크) + 연결된 트레일러'처럼 경계를 한 문장으로 고정해 문서화하고, 경계를 바꿀 때는 반드시 기준선 리셋을 기록하세요. 대조는 트레일러 단위(입차 잔량 → 출차 잔량)로도 따로 닫아두면 이중계상을 잡기 쉽습니다.</t>
  </si>
  <si>
    <t>기존 탐지기의 baselineResetAt 처리 방식 — lib/analytics/detectors/h2chain-mass-balance.ts</t>
  </si>
  <si>
    <t>반입 단가 이상 (price_anomaly)</t>
  </si>
  <si>
    <t>kg당 단가가 과거 분포에서 벗어나거나, 같은 공급사에서 건별 단가가 설명 없이 달라진다.</t>
  </si>
  <si>
    <t>건별 단가의 로버스트 z(중앙값·MAD)와 계약 단가 대비 편차를 본다. 공개 시세(수소유통정보시스템 지역 평균)와의 스프레드도 함께 표시한다.</t>
  </si>
  <si>
    <t>① 충전소 소매가는 발전용 벌크 단가와 성격이 다르다 — 공개 시세를 '정답'으로 쓰면 항상 어긋난다. ② 운송거리·긴급 배송 할증이 계약에 있으면 정상 변동이다. ③ 부가세·운송비 포함 여부가 전표마다 다를 수 있다.</t>
  </si>
  <si>
    <t>단가는 '계약 기준가 대비 편차'로 감시하고, 공개 시세는 참고선으로만 겹쳐 그리세요. 전표 입력 시 운송비·할증·부가세 포함 여부를 필드로 받아두면 사후 분쟁이 줄어듭니다.</t>
  </si>
  <si>
    <t>공개 시세(전국 평균 10,495원/kg, 지역 9,792~15,000원/kg, 2026-09 조회) — https://www.h2nbiz.or.kr/rt/sts/pce/rtAmountInfo.do</t>
  </si>
  <si>
    <t>하역 미완료·회수율 저하 (incomplete_unload)</t>
  </si>
  <si>
    <t>하역 유량이 잔압 하한에 닿기 전에 0에 수렴하고, 트레일러 잔압이 계약 잔압보다 높은 채로 출차한다.</t>
  </si>
  <si>
    <t>건별 회수율 = 하역량 ÷ (입차 잔량 − 목표 잔압 상당량)을 계산해 추세를 본다. 하역 말기 유량 곡선의 감쇠 시정수와 헤더 압력(PT-502)/트레일러 압력(PT-501) 차를 함께 본다.</t>
  </si>
  <si>
    <t>① 사이트 버퍼가 이미 만압이면 구동력이 없어 정상적으로 멈춘다 — 수용부 압력을 통제해야 한다. ② 필터·체크밸브 막힘과 레귤레이터 설정 변경이 같은 모양을 만든다. ③ 겨울철 저온 트립으로 의도적으로 멈춘 경우.</t>
  </si>
  <si>
    <t>수용부가 만압이어서 멈췄다면 하역 스케줄을 발전 스케줄과 맞추거나 수입 뱅크(중간 압력대)를 검토하세요. 만압이 아닌데 멈췄다면 하역 라인 필터·레귤레이터·체크밸브를 점검하세요. 회수율 1%p는 Type I 기준 약 2~3 kg, 연간으로는 수백 kg의 단가 차이가 됩니다.</t>
  </si>
  <si>
    <t>cascade 감압으로 회수 가능분을 키움, 현장 회수율 80~85% — https://www.rein-hytec.com/market-trends/what-is-a-hydrogen-tube-trailer</t>
  </si>
  <si>
    <t>반입 수소 순도 미달 (purity_offspec)</t>
  </si>
  <si>
    <t>성적서 순도는 규격 이내인데 하역 후 사이트 측 순도·산소 농도(OTH)·이슬점이 나빠진다. 연료전지 스택 성능이 반입 직후에만 떨어진다.</t>
  </si>
  <si>
    <t>반입 이벤트 전후로 연료전지 스택 성능 지표(조건 매칭 셀 전압)와 퍼지 빈도를 비교하는 전후 대조. 순도는 성적서 값과 사이트 분석값을 병기.</t>
  </si>
  <si>
    <t>① 하역 배관 잔류 공기·수분이 원인일 수 있다(수소 자체가 아니라 퍼지 절차 문제). ② 스택 성능 변화는 온도·부하 이력에 더 크게 좌우된다 — 조건 매칭 없이 비교하면 거의 확실히 오진한다. ③ 분석 샘플링 위치가 바뀌면 값이 바뀐다.</t>
  </si>
  <si>
    <t>EIGA 권고대로 분석이 필요하면 트레일러에서 직접 채취하고, 평소에는 성적서를 자산 이력으로 보관하세요. 반입 직후에만 성능이 떨어지면 수소 품질보다 하역 퍼지 절차를 먼저 의심하세요.</t>
  </si>
  <si>
    <t>EIGA TB 51/24 §Analysis — 트레일러가 분석성적서를 동반하므로 인터페이스 분석은 보통 불필요, 필요 시 트레일러에서 직접 — https://www.eiga.eu/uploads/documents/TB051.pdf</t>
  </si>
  <si>
    <t>접지 미연결·하역 인터록 우회 (grounding_bypass)</t>
  </si>
  <si>
    <t>h2.delivery.ground가 불량인데 하역 상태가 '하역중'으로 진행된 이력, 또는 접지 감시 신호가 늘 일정한 값으로 고정(flatline)되어 있다.</t>
  </si>
  <si>
    <t>상태 조합 규칙(하역중 AND 접지불량) 위반 이벤트를 세고, 접지 신호의 flatline을 데이터 품질 탐지기(dq-gap-flatline)로 감시.</t>
  </si>
  <si>
    <t>① 접지 감시 접점이 노이즈로 순간 튀는 경우 — 디바운스 필요. ② 수동 확인 절차만 운영하는 사이트는 신호 자체가 없다(데이터 없음이지 위반이 아님).</t>
  </si>
  <si>
    <t>안전 판단은 현장 안전설비와 절차의 몫입니다. 콘솔은 '절차 준수 기록'으로만 제시하세요. EIGA는 매 납품마다 패널에서 접지 연결을 감시하거나 훈련된 사람이 확인하고, 접지점 저항은 25 Ω 이하일 것을 권고합니다.</t>
  </si>
  <si>
    <t>EIGA TB 51/24 §Grounding — https://www.eiga.eu/uploads/documents/TB051.pdf</t>
  </si>
  <si>
    <t>하역 저온에 의한 Type IV 라이너 손상 위험 (type4_low_temp)</t>
  </si>
  <si>
    <t>겨울철 고유량 하역 중 h2.delivery.temp가 급격히 떨어지고, 같은 조건이 반복된다.</t>
  </si>
  <si>
    <t>하역 구간의 최저 가스 온도와 평균 하역 유량을 산점도로 누적해 한계선 접근 빈도를 본다. 저온 트립 작동 횟수도 함께 집계.</t>
  </si>
  <si>
    <t>① 센서가 배관 표면에 있으면 실제 가스 온도보다 높게 읽힌다 — 위험을 과소평가한다. ② Type I(강재) 트레일러에는 해당하지 않는 모드다 — 트레일러 타입을 모르면 전부 오경보.</t>
  </si>
  <si>
    <t>트레일러 타입을 자산에 반드시 기록하고, Type IV라면 하역 유량 상한과 저온 트립 설정을 공급사와 합의해 절차에 넣으세요. 이 모드는 안전 항목이므로 판단은 현장과 제작사 기준을 따릅니다.</t>
  </si>
  <si>
    <t>EIGA TB 51/24 Table 1 — 높은 하역 유량 + 저외기에서 Type IV 라이너 균열 위험, 트레일러·HRS 양측 저온 트립 안전기능 — https://www.eiga.eu/uploads/documents/TB051.pdf</t>
  </si>
  <si>
    <t>반입 항 누락으로 인한 기존 물질수지 탐지기 편향 (mass_balance_sign_bias)</t>
  </si>
  <si>
    <t>반입이 있는 날마다 h2chain.mass_balance_gap의 잔차가 크게 음(−)으로 나온다. 반입이 몰린 주에는 CUSUM이 무조건 경보한다.</t>
  </si>
  <si>
    <t>현행 식 residual = produced − fc_consumed − stored_delta − vented_est에서, 반입일의 stored_delta가 produced를 훨씬 넘으므로 잔차가 구조적으로 음이 된다. 반입일 여부와 잔차 부호의 연관을 보면 즉시 확인된다.</t>
  </si>
  <si>
    <t>이것은 오탐이 아니라 모델 누락이다. 임계값(residualPct 2%)을 올려 덮으면 진짜 누설·계량 이상을 못 잡게 된다.</t>
  </si>
  <si>
    <t>원장 식을 residual = produced + delivered − fc_consumed − stored_delta − vented_est로 확장하고(탐지기 버전 @2), 잔차율 분모도 max(produced + delivered, fc_consumed, floor)로 바꾸세요. 반입 데이터가 없는 사이트에서는 delivered = 0이므로 기존 동작과 같습니다. 반입 레코드가 결측인 날은 잔차를 계산하지 말고 '판정 불능'으로 두는 게 안전합니다.</t>
  </si>
  <si>
    <t>lib/analytics/ledger/hydrogen.ts:9-11 및 lib/analytics/detectors/h2chain-mass-balance.ts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</si>
</sst>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맑은 고딕"/>
      <family val="2"/>
      <scheme val="minor"/>
    </font>
    <font>
      <b/>
      <sz val="16"/>
      <color rgb="FF4081ED"/>
      <name val="Pretendard"/>
      <family val="3"/>
      <charset val="129"/>
    </font>
    <font>
      <sz val="10"/>
      <color rgb="FF858585"/>
      <name val="Pretendard"/>
      <family val="3"/>
      <charset val="129"/>
    </font>
    <font>
      <sz val="9"/>
      <color rgb="FF858585"/>
      <name val="Pretendard"/>
      <family val="3"/>
      <charset val="129"/>
    </font>
    <font>
      <b/>
      <sz val="10"/>
      <color rgb="FF222222"/>
      <name val="Pretendard"/>
      <family val="3"/>
      <charset val="129"/>
    </font>
    <font>
      <sz val="10"/>
      <color rgb="FF222222"/>
      <name val="Pretendard"/>
      <family val="3"/>
      <charset val="129"/>
    </font>
    <font>
      <b/>
      <sz val="11"/>
      <color rgb="FF4081ED"/>
      <name val="Pretendard"/>
      <family val="3"/>
      <charset val="129"/>
    </font>
    <font>
      <u/>
      <sz val="9"/>
      <color rgb="FF4081ED"/>
      <name val="Pretendard"/>
      <family val="3"/>
      <charset val="129"/>
    </font>
    <font>
      <sz val="8"/>
      <name val="맑은 고딕"/>
      <family val="3"/>
      <charset val="129"/>
      <scheme val="minor"/>
    </font>
  </fonts>
  <fills count="4">
    <fill>
      <patternFill patternType="none"/>
    </fill>
    <fill>
      <patternFill patternType="gray125"/>
    </fill>
    <fill>
      <patternFill patternType="solid">
        <fgColor rgb="FFDCE6F2"/>
      </patternFill>
    </fill>
    <fill>
      <patternFill patternType="solid">
        <fgColor rgb="FFEEF3FC"/>
      </patternFill>
    </fill>
  </fills>
  <borders count="2">
    <border>
      <left/>
      <right/>
      <top/>
      <bottom/>
      <diagonal/>
    </border>
    <border>
      <left style="thin">
        <color rgb="FFD9DEE6"/>
      </left>
      <right style="thin">
        <color rgb="FFD9DEE6"/>
      </right>
      <top style="thin">
        <color rgb="FFD9DEE6"/>
      </top>
      <bottom style="thin">
        <color rgb="FFD9DEE6"/>
      </bottom>
      <diagonal/>
    </border>
  </borders>
  <cellStyleXfs count="1">
    <xf numFmtId="0" fontId="0" fillId="0" borderId="0"/>
  </cellStyleXfs>
  <cellXfs count="12">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1" xfId="0" applyFont="1" applyBorder="1" applyAlignment="1">
      <alignment horizontal="left" vertical="center" wrapText="1"/>
    </xf>
    <xf numFmtId="0" fontId="4" fillId="3" borderId="1" xfId="0" applyFont="1" applyFill="1" applyBorder="1" applyAlignment="1">
      <alignment horizontal="left" vertical="center" wrapText="1"/>
    </xf>
    <xf numFmtId="0" fontId="5" fillId="0" borderId="1" xfId="0" applyFont="1" applyBorder="1" applyAlignment="1">
      <alignment horizontal="center" vertical="center" wrapText="1"/>
    </xf>
    <xf numFmtId="0" fontId="4" fillId="3" borderId="1" xfId="0" applyFont="1" applyFill="1" applyBorder="1" applyAlignment="1">
      <alignment horizontal="center" vertical="center" wrapText="1"/>
    </xf>
    <xf numFmtId="0" fontId="6" fillId="0" borderId="1" xfId="0" applyFont="1" applyBorder="1" applyAlignment="1">
      <alignment horizontal="center" vertical="center" wrapText="1"/>
    </xf>
    <xf numFmtId="0" fontId="7" fillId="0" borderId="1" xfId="0" applyFont="1" applyBorder="1" applyAlignment="1">
      <alignment horizontal="left" vertical="center" wrapText="1"/>
    </xf>
    <xf numFmtId="0" fontId="2" fillId="0" borderId="0" xfId="0" applyFont="1" applyAlignment="1">
      <alignment vertical="top" wrapText="1"/>
    </xf>
    <xf numFmtId="0" fontId="0" fillId="0" borderId="0" xfId="0"/>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3.xml.rels><?xml version="1.0" encoding="UTF-8" standalone="yes"?>
<Relationships xmlns="http://schemas.openxmlformats.org/package/2006/relationships"><Relationship Id="rId117" Type="http://schemas.openxmlformats.org/officeDocument/2006/relationships/hyperlink" Target="https://www.pnnl.gov/sites/default/files/media/file/ESGC%20Cost%20Performance%20Report%202022%20PNNL-33283.pdf" TargetMode="External"/><Relationship Id="rId299" Type="http://schemas.openxmlformats.org/officeDocument/2006/relationships/hyperlink" Target="https://solar.huawei.com/au/news-room/au/2019/news-20190710" TargetMode="External"/><Relationship Id="rId21" Type="http://schemas.openxmlformats.org/officeDocument/2006/relationships/hyperlink" Target="https://iea-pvps.org/wp-content/uploads/2023/01/IEA-PVPS-T13-21-2022-EXEC-SUMM-Soiling-Losses-PV-Plants.pdf" TargetMode="External"/><Relationship Id="rId63" Type="http://schemas.openxmlformats.org/officeDocument/2006/relationships/hyperlink" Target="https://arxiv.org/abs/2506.03828" TargetMode="External"/><Relationship Id="rId159" Type="http://schemas.openxmlformats.org/officeDocument/2006/relationships/hyperlink" Target="https://docs.nrel.gov/docs/fy24osti/88769.pdf" TargetMode="External"/><Relationship Id="rId170" Type="http://schemas.openxmlformats.org/officeDocument/2006/relationships/hyperlink" Target="https://www.pnnl.gov/sites/default/files/media/file/ESGC%20Cost%20Performance%20Report%202022%20PNNL-33283.pdf" TargetMode="External"/><Relationship Id="rId226" Type="http://schemas.openxmlformats.org/officeDocument/2006/relationships/hyperlink" Target="https://www.doosanfuelcell.com/en/prod/prod-0102/" TargetMode="External"/><Relationship Id="rId268" Type="http://schemas.openxmlformats.org/officeDocument/2006/relationships/hyperlink" Target="https://arxiv.org/abs/2211.10435" TargetMode="External"/><Relationship Id="rId32" Type="http://schemas.openxmlformats.org/officeDocument/2006/relationships/hyperlink" Target="https://doi.org/10.1016/j.jpowsour.2020.229443" TargetMode="External"/><Relationship Id="rId74" Type="http://schemas.openxmlformats.org/officeDocument/2006/relationships/hyperlink" Target="https://c3.ai/c3-ai-and-bloom-energy-team-up-to-revolutionize-fuel-cell-performance-service-and-engineering-analytics/" TargetMode="External"/><Relationship Id="rId128" Type="http://schemas.openxmlformats.org/officeDocument/2006/relationships/hyperlink" Target="https://www.nature.com/articles/s41586-020-1994-5" TargetMode="External"/><Relationship Id="rId5" Type="http://schemas.openxmlformats.org/officeDocument/2006/relationships/hyperlink" Target="https://cordis.europa.eu/project/id/779469/reporting" TargetMode="External"/><Relationship Id="rId181" Type="http://schemas.openxmlformats.org/officeDocument/2006/relationships/hyperlink" Target="https://www.energy.gov/cmei/fuels/technical-targets-liquid-alkaline-electrolysis" TargetMode="External"/><Relationship Id="rId237" Type="http://schemas.openxmlformats.org/officeDocument/2006/relationships/hyperlink" Target="https://doi.org/10.3390/electronics13122335" TargetMode="External"/><Relationship Id="rId279" Type="http://schemas.openxmlformats.org/officeDocument/2006/relationships/hyperlink" Target="https://arxiv.org/abs/2509.06813" TargetMode="External"/><Relationship Id="rId43" Type="http://schemas.openxmlformats.org/officeDocument/2006/relationships/hyperlink" Target="https://nelhydrogen.com/press-release/nel-asa-status-update-5-regarding-incident-at-kjorbo/" TargetMode="External"/><Relationship Id="rId139" Type="http://schemas.openxmlformats.org/officeDocument/2006/relationships/hyperlink" Target="https://www.korea.kr/news/policyNewsView.do?newsId=156335827" TargetMode="External"/><Relationship Id="rId290" Type="http://schemas.openxmlformats.org/officeDocument/2006/relationships/hyperlink" Target="https://www.accure.net/case-studies/gore-street-capital-turning-soc-accuracy-into-5-more-trading-revenue" TargetMode="External"/><Relationship Id="rId304" Type="http://schemas.openxmlformats.org/officeDocument/2006/relationships/hyperlink" Target="https://www.windpower-international.com/analysis/engies-darwin-project-the-evolution-of-data-management-6124931/" TargetMode="External"/><Relationship Id="rId85" Type="http://schemas.openxmlformats.org/officeDocument/2006/relationships/hyperlink" Target="https://iea-pvps.org/wp-content/uploads/2023/01/IEA-PVPS-T13-21-2022-EXEC-SUMM-Soiling-Losses-PV-Plants.pdf" TargetMode="External"/><Relationship Id="rId150" Type="http://schemas.openxmlformats.org/officeDocument/2006/relationships/hyperlink" Target="https://www.law.go.kr/admRulLsInfoP.do?admRulSeq=2100000237332" TargetMode="External"/><Relationship Id="rId192" Type="http://schemas.openxmlformats.org/officeDocument/2006/relationships/hyperlink" Target="https://iea.blob.core.windows.net/assets/imports/events/140/EnergygieparkMainzoperationalandeconomicalanalysisoftheworldwidelargestpowertogasplantwithPEMelectrolysis.pdf" TargetMode="External"/><Relationship Id="rId206" Type="http://schemas.openxmlformats.org/officeDocument/2006/relationships/hyperlink" Target="https://h2hub.or.kr/main/info/regulation_info.do?mode=download&amp;articleNo=2180&amp;attachNo=4103" TargetMode="External"/><Relationship Id="rId248" Type="http://schemas.openxmlformats.org/officeDocument/2006/relationships/hyperlink" Target="https://arxiv.org/abs/1802.04431" TargetMode="External"/><Relationship Id="rId12" Type="http://schemas.openxmlformats.org/officeDocument/2006/relationships/hyperlink" Target="https://www.pveducation.org/pvcdrom/solar-cell-operation/effect-of-temperature" TargetMode="External"/><Relationship Id="rId108" Type="http://schemas.openxmlformats.org/officeDocument/2006/relationships/hyperlink" Target="https://arxiv.org/abs/1807.02894" TargetMode="External"/><Relationship Id="rId54" Type="http://schemas.openxmlformats.org/officeDocument/2006/relationships/hyperlink" Target="https://www.osti.gov/biblio/2575731" TargetMode="External"/><Relationship Id="rId96" Type="http://schemas.openxmlformats.org/officeDocument/2006/relationships/hyperlink" Target="https://www.industrynews.co.kr/news/articleView.html?idxno=51036" TargetMode="External"/><Relationship Id="rId161" Type="http://schemas.openxmlformats.org/officeDocument/2006/relationships/hyperlink" Target="https://arxiv.org/abs/2301.12242" TargetMode="External"/><Relationship Id="rId217" Type="http://schemas.openxmlformats.org/officeDocument/2006/relationships/hyperlink" Target="https://doi.org/10.1016/j.aej.2016.12.010" TargetMode="External"/><Relationship Id="rId259" Type="http://schemas.openxmlformats.org/officeDocument/2006/relationships/hyperlink" Target="https://restservice.epri.com/publicdownload/000000003002030360/0/Product" TargetMode="External"/><Relationship Id="rId23" Type="http://schemas.openxmlformats.org/officeDocument/2006/relationships/hyperlink" Target="https://www.nature.com/articles/s41598-025-99931-8" TargetMode="External"/><Relationship Id="rId119" Type="http://schemas.openxmlformats.org/officeDocument/2006/relationships/hyperlink" Target="https://www.accure.net/blogs/battery-hysteresis-effect" TargetMode="External"/><Relationship Id="rId270" Type="http://schemas.openxmlformats.org/officeDocument/2006/relationships/hyperlink" Target="https://arxiv.org/abs/2305.14627" TargetMode="External"/><Relationship Id="rId65" Type="http://schemas.openxmlformats.org/officeDocument/2006/relationships/hyperlink" Target="https://arxiv.org/abs/2509.06813" TargetMode="External"/><Relationship Id="rId130" Type="http://schemas.openxmlformats.org/officeDocument/2006/relationships/hyperlink" Target="https://www.nature.com/articles/s41467-023-41226-5" TargetMode="External"/><Relationship Id="rId172" Type="http://schemas.openxmlformats.org/officeDocument/2006/relationships/hyperlink" Target="https://docs.nrel.gov/docs/fy24osti/88769.pdf" TargetMode="External"/><Relationship Id="rId193" Type="http://schemas.openxmlformats.org/officeDocument/2006/relationships/hyperlink" Target="https://doi.org/10.1016/j.ijhydene.2021.08.069" TargetMode="External"/><Relationship Id="rId207" Type="http://schemas.openxmlformats.org/officeDocument/2006/relationships/hyperlink" Target="https://www.sisaweek.com/news/articleView.html?idxno=141570" TargetMode="External"/><Relationship Id="rId228" Type="http://schemas.openxmlformats.org/officeDocument/2006/relationships/hyperlink" Target="https://ieafuelcell.com/wp-content/uploads/2024/11/2021-stationary-application-performance.pdf" TargetMode="External"/><Relationship Id="rId249" Type="http://schemas.openxmlformats.org/officeDocument/2006/relationships/hyperlink" Target="https://arxiv.org/abs/1910.09808" TargetMode="External"/><Relationship Id="rId13" Type="http://schemas.openxmlformats.org/officeDocument/2006/relationships/hyperlink" Target="https://vbn.aau.dk/en/publications/on-the-perturb-and-observe-and-incremental-conductance-mppt-metho/" TargetMode="External"/><Relationship Id="rId109" Type="http://schemas.openxmlformats.org/officeDocument/2006/relationships/hyperlink" Target="https://www.energy-storage.news/battery-storage-failure-incident-rate-dropped-97-between-2018-and-2023/" TargetMode="External"/><Relationship Id="rId260" Type="http://schemas.openxmlformats.org/officeDocument/2006/relationships/hyperlink" Target="https://docs.nlr.gov/docs/fy24osti/88769.pdf" TargetMode="External"/><Relationship Id="rId281" Type="http://schemas.openxmlformats.org/officeDocument/2006/relationships/hyperlink" Target="https://econpapers.repec.org/RePEc:eee:pubeco:v:95:y:2011:i:9-10:p:1082-1095" TargetMode="External"/><Relationship Id="rId34" Type="http://schemas.openxmlformats.org/officeDocument/2006/relationships/hyperlink" Target="https://www.global.toshiba/ww/news/energy/2023/04/news-20230427-01.html" TargetMode="External"/><Relationship Id="rId55" Type="http://schemas.openxmlformats.org/officeDocument/2006/relationships/hyperlink" Target="https://arxiv.org/abs/1807.02894" TargetMode="External"/><Relationship Id="rId76" Type="http://schemas.openxmlformats.org/officeDocument/2006/relationships/hyperlink" Target="https://www.epj.co.kr/news/articleView.html?idxno=22970" TargetMode="External"/><Relationship Id="rId97" Type="http://schemas.openxmlformats.org/officeDocument/2006/relationships/hyperlink" Target="https://www.electimes.com/news/articleView.html?idxno=326670" TargetMode="External"/><Relationship Id="rId120" Type="http://schemas.openxmlformats.org/officeDocument/2006/relationships/hyperlink" Target="https://www.nature.com/articles/s41560-019-0356-8" TargetMode="External"/><Relationship Id="rId141" Type="http://schemas.openxmlformats.org/officeDocument/2006/relationships/hyperlink" Target="https://www.powermag.com/wp-content/uploads/2024/05/bess-failure-report.pdf" TargetMode="External"/><Relationship Id="rId7" Type="http://schemas.openxmlformats.org/officeDocument/2006/relationships/hyperlink" Target="https://www.twaice.com/customer-stories/interenergy-bess-performance-issues-warranties-and-capacity" TargetMode="External"/><Relationship Id="rId162" Type="http://schemas.openxmlformats.org/officeDocument/2006/relationships/hyperlink" Target="https://arxiv.org/abs/2203.02991" TargetMode="External"/><Relationship Id="rId183" Type="http://schemas.openxmlformats.org/officeDocument/2006/relationships/hyperlink" Target="https://h2hub.or.kr/main/info/regulation_info.do?mode=download&amp;articleNo=2572&amp;attachNo=4930" TargetMode="External"/><Relationship Id="rId218" Type="http://schemas.openxmlformats.org/officeDocument/2006/relationships/hyperlink" Target="https://doi.org/10.1016/j.ijhydene.2020.09.218" TargetMode="External"/><Relationship Id="rId239" Type="http://schemas.openxmlformats.org/officeDocument/2006/relationships/hyperlink" Target="https://pmc.ncbi.nlm.nih.gov/articles/PMC9763490/" TargetMode="External"/><Relationship Id="rId250" Type="http://schemas.openxmlformats.org/officeDocument/2006/relationships/hyperlink" Target="https://iea-pvps.org/wp-content/uploads/2020/01/Review_on_IR_and_EL_Imaging_for_PV_Field_Applications_by_Task_13.pdf" TargetMode="External"/><Relationship Id="rId271" Type="http://schemas.openxmlformats.org/officeDocument/2006/relationships/hyperlink" Target="https://www.prnewswire.com/news-releases/epri-publishes-first-electric-sector-benchmarking-results-of-public-llms-302635785.html" TargetMode="External"/><Relationship Id="rId292" Type="http://schemas.openxmlformats.org/officeDocument/2006/relationships/hyperlink" Target="https://www.clean-hydrogen.europa.eu/system/files/2024-01/Clean%20Hydrogen%20JU%20AWP%202024%20-%20all%20chapters_Final_For_Publication.pdf" TargetMode="External"/><Relationship Id="rId306" Type="http://schemas.openxmlformats.org/officeDocument/2006/relationships/hyperlink" Target="https://nelhydrogen.com/support/nasoc/" TargetMode="External"/><Relationship Id="rId24" Type="http://schemas.openxmlformats.org/officeDocument/2006/relationships/hyperlink" Target="https://arxiv.org/abs/2301.12242" TargetMode="External"/><Relationship Id="rId45" Type="http://schemas.openxmlformats.org/officeDocument/2006/relationships/hyperlink" Target="https://www.asiae.co.kr/article/2026060915313849460" TargetMode="External"/><Relationship Id="rId66" Type="http://schemas.openxmlformats.org/officeDocument/2006/relationships/hyperlink" Target="https://api.crossref.org/works/10.1093/qje/qjae044" TargetMode="External"/><Relationship Id="rId87" Type="http://schemas.openxmlformats.org/officeDocument/2006/relationships/hyperlink" Target="http://www.e2news.com/news/articleView.html?idxno=323702" TargetMode="External"/><Relationship Id="rId110" Type="http://schemas.openxmlformats.org/officeDocument/2006/relationships/hyperlink" Target="https://www.powermag.com/wp-content/uploads/2024/05/bess-failure-report.pdf" TargetMode="External"/><Relationship Id="rId131" Type="http://schemas.openxmlformats.org/officeDocument/2006/relationships/hyperlink" Target="https://arxiv.org/abs/2107.13856" TargetMode="External"/><Relationship Id="rId152" Type="http://schemas.openxmlformats.org/officeDocument/2006/relationships/hyperlink" Target="https://www.shinkim.com/kor/media/newsletter/2375" TargetMode="External"/><Relationship Id="rId173" Type="http://schemas.openxmlformats.org/officeDocument/2006/relationships/hyperlink" Target="https://arxiv.org/abs/2301.05310" TargetMode="External"/><Relationship Id="rId194" Type="http://schemas.openxmlformats.org/officeDocument/2006/relationships/hyperlink" Target="https://arxiv.org/abs/2301.12242" TargetMode="External"/><Relationship Id="rId208" Type="http://schemas.openxmlformats.org/officeDocument/2006/relationships/hyperlink" Target="https://nelhydrogen.com/press-release/nel-asa-status-update-5-regarding-incident-at-kjorbo/" TargetMode="External"/><Relationship Id="rId229" Type="http://schemas.openxmlformats.org/officeDocument/2006/relationships/hyperlink" Target="https://www.mdpi.com/1996-1073/13/9/2338" TargetMode="External"/><Relationship Id="rId240" Type="http://schemas.openxmlformats.org/officeDocument/2006/relationships/hyperlink" Target="https://www.energy.gov/sites/prod/files/2020/04/f74/omguide_complete_w-eo-disclaimer.pdf" TargetMode="External"/><Relationship Id="rId261" Type="http://schemas.openxmlformats.org/officeDocument/2006/relationships/hyperlink" Target="https://doi.org/10.1109/ACCESS.2025.3599360" TargetMode="External"/><Relationship Id="rId14" Type="http://schemas.openxmlformats.org/officeDocument/2006/relationships/hyperlink" Target="https://docs.nlr.gov/docs/fy22osti/77782.pdf" TargetMode="External"/><Relationship Id="rId35" Type="http://schemas.openxmlformats.org/officeDocument/2006/relationships/hyperlink" Target="https://arxiv.org/html/2501.14576v3" TargetMode="External"/><Relationship Id="rId56" Type="http://schemas.openxmlformats.org/officeDocument/2006/relationships/hyperlink" Target="https://www.industrynews.co.kr/news/articleView.html?idxno=39594" TargetMode="External"/><Relationship Id="rId77" Type="http://schemas.openxmlformats.org/officeDocument/2006/relationships/hyperlink" Target="https://www.hankyung.com/article/2026021905431" TargetMode="External"/><Relationship Id="rId100" Type="http://schemas.openxmlformats.org/officeDocument/2006/relationships/hyperlink" Target="https://ieeexplore.ieee.org/document/9272625/" TargetMode="External"/><Relationship Id="rId282" Type="http://schemas.openxmlformats.org/officeDocument/2006/relationships/hyperlink" Target="https://arxiv.org/abs/2405.20362" TargetMode="External"/><Relationship Id="rId8" Type="http://schemas.openxmlformats.org/officeDocument/2006/relationships/hyperlink" Target="https://doi.org/10.1016/j.ijhydene.2016.12.145" TargetMode="External"/><Relationship Id="rId98" Type="http://schemas.openxmlformats.org/officeDocument/2006/relationships/hyperlink" Target="https://solar.huawei.com/au/news/2019/news-20190710/" TargetMode="External"/><Relationship Id="rId121" Type="http://schemas.openxmlformats.org/officeDocument/2006/relationships/hyperlink" Target="https://www.nature.com/articles/s41586-020-1994-5" TargetMode="External"/><Relationship Id="rId142" Type="http://schemas.openxmlformats.org/officeDocument/2006/relationships/hyperlink" Target="https://docs.nlr.gov/docs/fy17osti/67102.pdf" TargetMode="External"/><Relationship Id="rId163" Type="http://schemas.openxmlformats.org/officeDocument/2006/relationships/hyperlink" Target="https://arxiv.org/abs/2301.05310" TargetMode="External"/><Relationship Id="rId184" Type="http://schemas.openxmlformats.org/officeDocument/2006/relationships/hyperlink" Target="https://www.eiga.eu/uploads/documents/DOC246.pdf" TargetMode="External"/><Relationship Id="rId219" Type="http://schemas.openxmlformats.org/officeDocument/2006/relationships/hyperlink" Target="https://www.electimes.com/news/articleView.html?idxno=332044" TargetMode="External"/><Relationship Id="rId230" Type="http://schemas.openxmlformats.org/officeDocument/2006/relationships/hyperlink" Target="https://pmc.ncbi.nlm.nih.gov/articles/PMC9763490/" TargetMode="External"/><Relationship Id="rId251" Type="http://schemas.openxmlformats.org/officeDocument/2006/relationships/hyperlink" Target="https://www.nature.com/articles/s41560-019-0356-8" TargetMode="External"/><Relationship Id="rId25" Type="http://schemas.openxmlformats.org/officeDocument/2006/relationships/hyperlink" Target="https://k-esg.org/esghub/esg_news_view?idx=4184" TargetMode="External"/><Relationship Id="rId46" Type="http://schemas.openxmlformats.org/officeDocument/2006/relationships/hyperlink" Target="https://bloomenergy.m3iworks.com/wp-content/uploads/bloom-energy-server-datasheet-2023.pdf" TargetMode="External"/><Relationship Id="rId67" Type="http://schemas.openxmlformats.org/officeDocument/2006/relationships/hyperlink" Target="https://arxiv.org/abs/2509.04664" TargetMode="External"/><Relationship Id="rId272" Type="http://schemas.openxmlformats.org/officeDocument/2006/relationships/hyperlink" Target="https://arxiv.org/abs/2411.07763" TargetMode="External"/><Relationship Id="rId293" Type="http://schemas.openxmlformats.org/officeDocument/2006/relationships/hyperlink" Target="https://www.industrynews.co.kr/news/articleView.html?idxno=38798" TargetMode="External"/><Relationship Id="rId307" Type="http://schemas.openxmlformats.org/officeDocument/2006/relationships/hyperlink" Target="https://www.clean-hydrogen.europa.eu/projects-dashboard/projects-repository/health-code_en" TargetMode="External"/><Relationship Id="rId88" Type="http://schemas.openxmlformats.org/officeDocument/2006/relationships/hyperlink" Target="https://pmc.ncbi.nlm.nih.gov/articles/PMC9772305/" TargetMode="External"/><Relationship Id="rId111" Type="http://schemas.openxmlformats.org/officeDocument/2006/relationships/hyperlink" Target="https://www.powermag.com/wp-content/uploads/2024/05/bess-failure-report.pdf" TargetMode="External"/><Relationship Id="rId132" Type="http://schemas.openxmlformats.org/officeDocument/2006/relationships/hyperlink" Target="https://www.renewableenergymagazine.com/storage/accure-releases-2025-energy-storage-system-health-20250910" TargetMode="External"/><Relationship Id="rId153" Type="http://schemas.openxmlformats.org/officeDocument/2006/relationships/hyperlink" Target="https://k-esg.org/esghub/esg_news_view?idx=4184" TargetMode="External"/><Relationship Id="rId174" Type="http://schemas.openxmlformats.org/officeDocument/2006/relationships/hyperlink" Target="https://www.ntp.org/ntpfaq/ntp-s-algo/" TargetMode="External"/><Relationship Id="rId195" Type="http://schemas.openxmlformats.org/officeDocument/2006/relationships/hyperlink" Target="https://doi.org/10.1016/j.ijhydene.2021.11.126" TargetMode="External"/><Relationship Id="rId209" Type="http://schemas.openxmlformats.org/officeDocument/2006/relationships/hyperlink" Target="https://www.osti.gov/servlets/purl/1603259" TargetMode="External"/><Relationship Id="rId220" Type="http://schemas.openxmlformats.org/officeDocument/2006/relationships/hyperlink" Target="https://www.dnews.co.kr/uhtml/view.jsp?idxno=202508180830309050942" TargetMode="External"/><Relationship Id="rId241" Type="http://schemas.openxmlformats.org/officeDocument/2006/relationships/hyperlink" Target="https://www.energy.gov/sites/prod/files/2020/04/f74/omguide_complete_w-eo-disclaimer.pdf" TargetMode="External"/><Relationship Id="rId15" Type="http://schemas.openxmlformats.org/officeDocument/2006/relationships/hyperlink" Target="https://manuals.sma.de/SBSExx-50/en-US/13316496907.html" TargetMode="External"/><Relationship Id="rId36" Type="http://schemas.openxmlformats.org/officeDocument/2006/relationships/hyperlink" Target="https://doi.org/10.1016/j.jpowsour.2020.229443" TargetMode="External"/><Relationship Id="rId57" Type="http://schemas.openxmlformats.org/officeDocument/2006/relationships/hyperlink" Target="https://www.osti.gov/biblio/2575731" TargetMode="External"/><Relationship Id="rId262" Type="http://schemas.openxmlformats.org/officeDocument/2006/relationships/hyperlink" Target="https://pmc.ncbi.nlm.nih.gov/articles/PMC9890517/" TargetMode="External"/><Relationship Id="rId283" Type="http://schemas.openxmlformats.org/officeDocument/2006/relationships/hyperlink" Target="https://restservice.epri.com/publicdownload/000000003002030360/0/Product" TargetMode="External"/><Relationship Id="rId78" Type="http://schemas.openxmlformats.org/officeDocument/2006/relationships/hyperlink" Target="https://www.electimes.com/news/articleView.html?idxno=332823" TargetMode="External"/><Relationship Id="rId99" Type="http://schemas.openxmlformats.org/officeDocument/2006/relationships/hyperlink" Target="https://www.osti.gov/pages/biblio/1864619" TargetMode="External"/><Relationship Id="rId101" Type="http://schemas.openxmlformats.org/officeDocument/2006/relationships/hyperlink" Target="https://www.aitimes.com/news/articleView.html?idxno=214824" TargetMode="External"/><Relationship Id="rId122" Type="http://schemas.openxmlformats.org/officeDocument/2006/relationships/hyperlink" Target="https://doi.org/10.1038/s41467-024-48779-z" TargetMode="External"/><Relationship Id="rId143" Type="http://schemas.openxmlformats.org/officeDocument/2006/relationships/hyperlink" Target="https://arxiv.org/abs/1707.04567" TargetMode="External"/><Relationship Id="rId164" Type="http://schemas.openxmlformats.org/officeDocument/2006/relationships/hyperlink" Target="https://arxiv.org/abs/2503.17092" TargetMode="External"/><Relationship Id="rId185" Type="http://schemas.openxmlformats.org/officeDocument/2006/relationships/hyperlink" Target="https://iopscience.iop.org/article/10.1149/2.0421908jes" TargetMode="External"/><Relationship Id="rId9" Type="http://schemas.openxmlformats.org/officeDocument/2006/relationships/hyperlink" Target="https://www.mckinsey.com/capabilities/operations/our-insights/manufacturing-analytics-unleashes-productivity-and-profitability" TargetMode="External"/><Relationship Id="rId210" Type="http://schemas.openxmlformats.org/officeDocument/2006/relationships/hyperlink" Target="https://assets.linde.com/-/media/global/engineering/engineering/home/products-and-services/plant-components/powering-sustainable-mobility-for-generations-to-come/le_lhf_datasheet_ic90_60.pdf" TargetMode="External"/><Relationship Id="rId26" Type="http://schemas.openxmlformats.org/officeDocument/2006/relationships/hyperlink" Target="https://home.treasury.gov/news/press-releases/jy2768" TargetMode="External"/><Relationship Id="rId231" Type="http://schemas.openxmlformats.org/officeDocument/2006/relationships/hyperlink" Target="https://upcommons.upc.edu/server/api/core/bitstreams/f6d57a68-e1cb-437d-91db-d205fc74234f/content" TargetMode="External"/><Relationship Id="rId252" Type="http://schemas.openxmlformats.org/officeDocument/2006/relationships/hyperlink" Target="https://restservice.epri.com/publicdownload/000000003002030360/0/Product" TargetMode="External"/><Relationship Id="rId273" Type="http://schemas.openxmlformats.org/officeDocument/2006/relationships/hyperlink" Target="https://arxiv.org/abs/2305.15778" TargetMode="External"/><Relationship Id="rId294" Type="http://schemas.openxmlformats.org/officeDocument/2006/relationships/hyperlink" Target="http://www.shinkim.com/newsletter/2023/GA/2023_vol185/links/2023_vol185_102.pdf" TargetMode="External"/><Relationship Id="rId308" Type="http://schemas.openxmlformats.org/officeDocument/2006/relationships/hyperlink" Target="https://www.clean-hydrogen.europa.eu/system/files/2024-01/Clean%20Hydrogen%20JU%20AWP%202024%20-%20all%20chapters_Final_For_Publication.pdf" TargetMode="External"/><Relationship Id="rId47" Type="http://schemas.openxmlformats.org/officeDocument/2006/relationships/hyperlink" Target="https://pmc.ncbi.nlm.nih.gov/articles/PMC12446379/" TargetMode="External"/><Relationship Id="rId68" Type="http://schemas.openxmlformats.org/officeDocument/2006/relationships/hyperlink" Target="https://www.epj.co.kr/news/articleView.html?idxno=22970" TargetMode="External"/><Relationship Id="rId89" Type="http://schemas.openxmlformats.org/officeDocument/2006/relationships/hyperlink" Target="https://iea-pvps.org/wp-content/uploads/2025/02/IEA-PVPS-T13-30-2025-EX-SUMM-Degradation-and-Failure.pdf" TargetMode="External"/><Relationship Id="rId112" Type="http://schemas.openxmlformats.org/officeDocument/2006/relationships/hyperlink" Target="https://www.korea.kr/news/policyNewsView.do?newsId=156335827" TargetMode="External"/><Relationship Id="rId133" Type="http://schemas.openxmlformats.org/officeDocument/2006/relationships/hyperlink" Target="https://www.powermag.com/wp-content/uploads/2024/05/bess-failure-report.pdf" TargetMode="External"/><Relationship Id="rId154" Type="http://schemas.openxmlformats.org/officeDocument/2006/relationships/hyperlink" Target="https://www.modbus.org/file/secure/modbusprotocolspecification.pdf" TargetMode="External"/><Relationship Id="rId175" Type="http://schemas.openxmlformats.org/officeDocument/2006/relationships/hyperlink" Target="https://www.energy.gov/femp" TargetMode="External"/><Relationship Id="rId196" Type="http://schemas.openxmlformats.org/officeDocument/2006/relationships/hyperlink" Target="https://doi.org/10.1016/j.egyai.2024.100420" TargetMode="External"/><Relationship Id="rId200" Type="http://schemas.openxmlformats.org/officeDocument/2006/relationships/hyperlink" Target="https://pmc.ncbi.nlm.nih.gov/articles/PMC4652867/" TargetMode="External"/><Relationship Id="rId16" Type="http://schemas.openxmlformats.org/officeDocument/2006/relationships/hyperlink" Target="https://www.sciencedirect.com/science/article/abs/pii/S0360544220321253" TargetMode="External"/><Relationship Id="rId221" Type="http://schemas.openxmlformats.org/officeDocument/2006/relationships/hyperlink" Target="https://www.newspim.com/news/view/20260807000603" TargetMode="External"/><Relationship Id="rId242" Type="http://schemas.openxmlformats.org/officeDocument/2006/relationships/hyperlink" Target="https://pmc.ncbi.nlm.nih.gov/articles/PMC9890517/" TargetMode="External"/><Relationship Id="rId263" Type="http://schemas.openxmlformats.org/officeDocument/2006/relationships/hyperlink" Target="https://iea-pvps.org/wp-content/uploads/2021/10/Final-Executive-Summary-IEA-PVPS-T13-19_2021_PV-Failure-Monitoring.pdf" TargetMode="External"/><Relationship Id="rId284" Type="http://schemas.openxmlformats.org/officeDocument/2006/relationships/hyperlink" Target="https://www.utilitydive.com/news/cells-and-modules-not-responsible-for-most-battery-energy-storage-system-fa/716732/" TargetMode="External"/><Relationship Id="rId37" Type="http://schemas.openxmlformats.org/officeDocument/2006/relationships/hyperlink" Target="https://arxiv.org/abs/2301.12242" TargetMode="External"/><Relationship Id="rId58" Type="http://schemas.openxmlformats.org/officeDocument/2006/relationships/hyperlink" Target="https://pdfs.semanticscholar.org/7535/1afe78f698d9c94ea6f0e48183712c19a7d5.pdf" TargetMode="External"/><Relationship Id="rId79" Type="http://schemas.openxmlformats.org/officeDocument/2006/relationships/hyperlink" Target="https://www.industrynews.co.kr/news/articleView.html?idxno=38798" TargetMode="External"/><Relationship Id="rId102" Type="http://schemas.openxmlformats.org/officeDocument/2006/relationships/hyperlink" Target="https://www.industrynews.co.kr/news/articleView.html?idxno=51036" TargetMode="External"/><Relationship Id="rId123" Type="http://schemas.openxmlformats.org/officeDocument/2006/relationships/hyperlink" Target="https://docs.nlr.gov/docs/fy17osti/67102.pdf" TargetMode="External"/><Relationship Id="rId144" Type="http://schemas.openxmlformats.org/officeDocument/2006/relationships/hyperlink" Target="https://www.pnnl.gov/sites/default/files/media/file/ESGC%20Cost%20Performance%20Report%202022%20PNNL-33283.pdf" TargetMode="External"/><Relationship Id="rId90" Type="http://schemas.openxmlformats.org/officeDocument/2006/relationships/hyperlink" Target="https://iea-pvps.org/wp-content/uploads/2020/01/Review_on_IR_and_EL_Imaging_for_PV_Field_Applications_by_Task_13.pdf" TargetMode="External"/><Relationship Id="rId165" Type="http://schemas.openxmlformats.org/officeDocument/2006/relationships/hyperlink" Target="https://deepmind.google/discover/blog/machine-learning-can-boost-the-value-of-wind-energy/" TargetMode="External"/><Relationship Id="rId186" Type="http://schemas.openxmlformats.org/officeDocument/2006/relationships/hyperlink" Target="https://pmc.ncbi.nlm.nih.gov/articles/PMC9709953/" TargetMode="External"/><Relationship Id="rId211" Type="http://schemas.openxmlformats.org/officeDocument/2006/relationships/hyperlink" Target="https://www.energy.gov/eere/fuelcells/liquid-hydrogen-delivery" TargetMode="External"/><Relationship Id="rId232" Type="http://schemas.openxmlformats.org/officeDocument/2006/relationships/hyperlink" Target="https://www.energy.gov/cmei/fuels/doe-technical-targets-fuel-cell-systems-and-stacks-transportation-applications" TargetMode="External"/><Relationship Id="rId253" Type="http://schemas.openxmlformats.org/officeDocument/2006/relationships/hyperlink" Target="https://www.aveva.com/en/perspectives/success-stories/duke-energy/" TargetMode="External"/><Relationship Id="rId274" Type="http://schemas.openxmlformats.org/officeDocument/2006/relationships/hyperlink" Target="https://www.anthropic.com/news/contextual-retrieval" TargetMode="External"/><Relationship Id="rId295" Type="http://schemas.openxmlformats.org/officeDocument/2006/relationships/hyperlink" Target="https://www.windpower-international.com/analysis/engies-darwin-project-the-evolution-of-data-management-6124931/" TargetMode="External"/><Relationship Id="rId309" Type="http://schemas.openxmlformats.org/officeDocument/2006/relationships/hyperlink" Target="https://www.frontiersin.org/journals/energy-efficiency/articles/10.3389/fenef.2024.1437214/full" TargetMode="External"/><Relationship Id="rId27" Type="http://schemas.openxmlformats.org/officeDocument/2006/relationships/hyperlink" Target="https://reference.opcfoundation.org/" TargetMode="External"/><Relationship Id="rId48" Type="http://schemas.openxmlformats.org/officeDocument/2006/relationships/hyperlink" Target="https://www.h2news.kr/news/articleView.html?idxno=13121" TargetMode="External"/><Relationship Id="rId69" Type="http://schemas.openxmlformats.org/officeDocument/2006/relationships/hyperlink" Target="https://www.electimes.com/news/articleView.html?idxno=332823" TargetMode="External"/><Relationship Id="rId113" Type="http://schemas.openxmlformats.org/officeDocument/2006/relationships/hyperlink" Target="https://www.knpnews.com/news/articleView.html?idxno=20325" TargetMode="External"/><Relationship Id="rId134" Type="http://schemas.openxmlformats.org/officeDocument/2006/relationships/hyperlink" Target="https://www.cell.com/joule/fulltext/S2542-4351(20)30234-8" TargetMode="External"/><Relationship Id="rId80" Type="http://schemas.openxmlformats.org/officeDocument/2006/relationships/hyperlink" Target="https://www.energydaily.co.kr/news/articleView.html?idxno=201416" TargetMode="External"/><Relationship Id="rId155" Type="http://schemas.openxmlformats.org/officeDocument/2006/relationships/hyperlink" Target="https://sparkplug.eclipse.org/specification/version/3.0/documents/sparkplug-specification-3.0.0.pdf" TargetMode="External"/><Relationship Id="rId176" Type="http://schemas.openxmlformats.org/officeDocument/2006/relationships/hyperlink" Target="https://www.irena.org/-/media/Files/IRENA/Agency/Publication/2020/Dec/IRENA_Green_hydrogen_cost_2020.pdf" TargetMode="External"/><Relationship Id="rId197" Type="http://schemas.openxmlformats.org/officeDocument/2006/relationships/hyperlink" Target="https://www.electimes.com/news/articleView.html?idxno=320475" TargetMode="External"/><Relationship Id="rId201" Type="http://schemas.openxmlformats.org/officeDocument/2006/relationships/hyperlink" Target="https://h2hub.or.kr/main/info/regulation_info.do?mode=download&amp;articleNo=3039&amp;attachNo=5967" TargetMode="External"/><Relationship Id="rId222" Type="http://schemas.openxmlformats.org/officeDocument/2006/relationships/hyperlink" Target="https://www.keaj.kr/news/articleView.html?idxno=5673" TargetMode="External"/><Relationship Id="rId243" Type="http://schemas.openxmlformats.org/officeDocument/2006/relationships/hyperlink" Target="https://pmc.ncbi.nlm.nih.gov/articles/PMC9890517/" TargetMode="External"/><Relationship Id="rId264" Type="http://schemas.openxmlformats.org/officeDocument/2006/relationships/hyperlink" Target="https://doi.org/10.1016/j.solener.2020.01.055" TargetMode="External"/><Relationship Id="rId285" Type="http://schemas.openxmlformats.org/officeDocument/2006/relationships/hyperlink" Target="https://solarquarter.com/2026/02/17/benchmarking-dc-health-protecting-revenue-in-expanding-solar-fleets/" TargetMode="External"/><Relationship Id="rId17" Type="http://schemas.openxmlformats.org/officeDocument/2006/relationships/hyperlink" Target="https://pdfs.semanticscholar.org/7535/1afe78f698d9c94ea6f0e48183712c19a7d5.pdf" TargetMode="External"/><Relationship Id="rId38" Type="http://schemas.openxmlformats.org/officeDocument/2006/relationships/hyperlink" Target="https://iopscience.iop.org/article/10.1149/2.0421908jes" TargetMode="External"/><Relationship Id="rId59" Type="http://schemas.openxmlformats.org/officeDocument/2006/relationships/hyperlink" Target="https://arxiv.org/abs/2506.03828" TargetMode="External"/><Relationship Id="rId103" Type="http://schemas.openxmlformats.org/officeDocument/2006/relationships/hyperlink" Target="https://solar.huawei.com/au/news/2019/news-20190710/" TargetMode="External"/><Relationship Id="rId124" Type="http://schemas.openxmlformats.org/officeDocument/2006/relationships/hyperlink" Target="https://arxiv.org/abs/1707.04567" TargetMode="External"/><Relationship Id="rId310" Type="http://schemas.openxmlformats.org/officeDocument/2006/relationships/hyperlink" Target="https://www.osti.gov/biblio/3011897" TargetMode="External"/><Relationship Id="rId70" Type="http://schemas.openxmlformats.org/officeDocument/2006/relationships/hyperlink" Target="https://www.doosanfuelcell.com/kr/intro/intr-0401/" TargetMode="External"/><Relationship Id="rId91" Type="http://schemas.openxmlformats.org/officeDocument/2006/relationships/hyperlink" Target="https://arxiv.org/abs/1807.02894" TargetMode="External"/><Relationship Id="rId145" Type="http://schemas.openxmlformats.org/officeDocument/2006/relationships/hyperlink" Target="https://www.irena.org/-/media/Files/IRENA/Agency/Publication/2020/Dec/IRENA_Green_hydrogen_cost_2020.pdf" TargetMode="External"/><Relationship Id="rId166" Type="http://schemas.openxmlformats.org/officeDocument/2006/relationships/hyperlink" Target="https://docs.nrel.gov/docs/fy24osti/88769.pdf" TargetMode="External"/><Relationship Id="rId187" Type="http://schemas.openxmlformats.org/officeDocument/2006/relationships/hyperlink" Target="https://iea.blob.core.windows.net/assets/imports/events/140/EnergygieparkMainzoperationalandeconomicalanalysisoftheworldwidelargestpowertogasplantwithPEMelectrolysis.pdf" TargetMode="External"/><Relationship Id="rId1" Type="http://schemas.openxmlformats.org/officeDocument/2006/relationships/hyperlink" Target="https://www.jinkosolar.com/en/site/tigerneo_3" TargetMode="External"/><Relationship Id="rId212" Type="http://schemas.openxmlformats.org/officeDocument/2006/relationships/hyperlink" Target="https://doi.org/10.1016/j.aej.2016.12.010" TargetMode="External"/><Relationship Id="rId233" Type="http://schemas.openxmlformats.org/officeDocument/2006/relationships/hyperlink" Target="https://doi.org/10.3390/electronics13122335" TargetMode="External"/><Relationship Id="rId254" Type="http://schemas.openxmlformats.org/officeDocument/2006/relationships/hyperlink" Target="https://deepmind.google/blog/machine-learning-can-boost-the-value-of-wind-energy/" TargetMode="External"/><Relationship Id="rId28" Type="http://schemas.openxmlformats.org/officeDocument/2006/relationships/hyperlink" Target="https://arxiv.org/abs/2301.12242" TargetMode="External"/><Relationship Id="rId49" Type="http://schemas.openxmlformats.org/officeDocument/2006/relationships/hyperlink" Target="https://www.h2news.kr/news/articleView.html?idxno=13121" TargetMode="External"/><Relationship Id="rId114" Type="http://schemas.openxmlformats.org/officeDocument/2006/relationships/hyperlink" Target="https://zdnet.co.kr/view/?no=20241007084436" TargetMode="External"/><Relationship Id="rId275" Type="http://schemas.openxmlformats.org/officeDocument/2006/relationships/hyperlink" Target="https://mitsloan.mit.edu/sites/default/files/2023-10/SSRN-id4573321.pdf" TargetMode="External"/><Relationship Id="rId296" Type="http://schemas.openxmlformats.org/officeDocument/2006/relationships/hyperlink" Target="https://www.electimes.com/news/articleView.html?idxno=355329" TargetMode="External"/><Relationship Id="rId300" Type="http://schemas.openxmlformats.org/officeDocument/2006/relationships/hyperlink" Target="https://www.powerfactors.com/unity/asset-performance-management" TargetMode="External"/><Relationship Id="rId60" Type="http://schemas.openxmlformats.org/officeDocument/2006/relationships/hyperlink" Target="https://api.crossref.org/works/10.1093/qje/qjae044" TargetMode="External"/><Relationship Id="rId81" Type="http://schemas.openxmlformats.org/officeDocument/2006/relationships/hyperlink" Target="https://www.h2news.kr/news/articleView.html?idxno=12504" TargetMode="External"/><Relationship Id="rId135" Type="http://schemas.openxmlformats.org/officeDocument/2006/relationships/hyperlink" Target="https://docs.nlr.gov/docs/fy17osti/67102.pdf" TargetMode="External"/><Relationship Id="rId156" Type="http://schemas.openxmlformats.org/officeDocument/2006/relationships/hyperlink" Target="https://www.ntp.org/ntpfaq/ntp-s-algo/" TargetMode="External"/><Relationship Id="rId177" Type="http://schemas.openxmlformats.org/officeDocument/2006/relationships/hyperlink" Target="https://www.irena.org/-/media/Files/IRENA/Agency/Publication/2020/Dec/IRENA_Green_hydrogen_cost_2020.pdf" TargetMode="External"/><Relationship Id="rId198" Type="http://schemas.openxmlformats.org/officeDocument/2006/relationships/hyperlink" Target="https://pmc.ncbi.nlm.nih.gov/articles/PMC4652867/" TargetMode="External"/><Relationship Id="rId202" Type="http://schemas.openxmlformats.org/officeDocument/2006/relationships/hyperlink" Target="https://h2hub.or.kr/main/info/regulation_info.do?mode=download&amp;articleNo=3039&amp;attachNo=5967" TargetMode="External"/><Relationship Id="rId223" Type="http://schemas.openxmlformats.org/officeDocument/2006/relationships/hyperlink" Target="https://www.kpx.or.kr/boardDownload.es?bid=0042&amp;list_no=69381&amp;seq=2" TargetMode="External"/><Relationship Id="rId244" Type="http://schemas.openxmlformats.org/officeDocument/2006/relationships/hyperlink" Target="https://docs.nlr.gov/docs/fy24osti/88769.pdf" TargetMode="External"/><Relationship Id="rId18" Type="http://schemas.openxmlformats.org/officeDocument/2006/relationships/hyperlink" Target="https://www.pv-tech.org/pv-project-power-loss-doubled-in-last-five-years-raptor-maps/" TargetMode="External"/><Relationship Id="rId39" Type="http://schemas.openxmlformats.org/officeDocument/2006/relationships/hyperlink" Target="https://hyresponder.eu/wp-content/uploads/2021/04/Lecture-2-slides.pdf" TargetMode="External"/><Relationship Id="rId265" Type="http://schemas.openxmlformats.org/officeDocument/2006/relationships/hyperlink" Target="https://arxiv.org/abs/2406.16964" TargetMode="External"/><Relationship Id="rId286" Type="http://schemas.openxmlformats.org/officeDocument/2006/relationships/hyperlink" Target="https://raptormaps.com/press/global-solar-report-finds-4b-annual-revenue-loss-in-solar-industry" TargetMode="External"/><Relationship Id="rId50" Type="http://schemas.openxmlformats.org/officeDocument/2006/relationships/hyperlink" Target="https://pmc.ncbi.nlm.nih.gov/articles/PMC12446379/" TargetMode="External"/><Relationship Id="rId104" Type="http://schemas.openxmlformats.org/officeDocument/2006/relationships/hyperlink" Target="https://arxiv.org/abs/1807.02894" TargetMode="External"/><Relationship Id="rId125" Type="http://schemas.openxmlformats.org/officeDocument/2006/relationships/hyperlink" Target="https://www.cell.com/joule/fulltext/S2542-4351(20)30234-8" TargetMode="External"/><Relationship Id="rId146" Type="http://schemas.openxmlformats.org/officeDocument/2006/relationships/hyperlink" Target="https://www.irena.org/-/media/Files/IRENA/Agency/Publication/2020/Dec/IRENA_Green_hydrogen_cost_2020.pdf" TargetMode="External"/><Relationship Id="rId167" Type="http://schemas.openxmlformats.org/officeDocument/2006/relationships/hyperlink" Target="https://journal.hydrogen.or.kr/xml/39686/39686.pdf" TargetMode="External"/><Relationship Id="rId188" Type="http://schemas.openxmlformats.org/officeDocument/2006/relationships/hyperlink" Target="https://doi.org/10.1016/j.ijhydene.2021.11.126" TargetMode="External"/><Relationship Id="rId311" Type="http://schemas.openxmlformats.org/officeDocument/2006/relationships/hyperlink" Target="https://www.koit.co.kr/news/articleView.html?idxno=116998" TargetMode="External"/><Relationship Id="rId71" Type="http://schemas.openxmlformats.org/officeDocument/2006/relationships/hyperlink" Target="https://solarquarter.com/2026/02/17/benchmarking-dc-health-protecting-revenue-in-expanding-solar-fleets/" TargetMode="External"/><Relationship Id="rId92" Type="http://schemas.openxmlformats.org/officeDocument/2006/relationships/hyperlink" Target="https://www.aitimes.com/news/articleView.html?idxno=214824" TargetMode="External"/><Relationship Id="rId213" Type="http://schemas.openxmlformats.org/officeDocument/2006/relationships/hyperlink" Target="https://www.sisaweek.com/news/articleView.html?idxno=141570" TargetMode="External"/><Relationship Id="rId234" Type="http://schemas.openxmlformats.org/officeDocument/2006/relationships/hyperlink" Target="https://ieafuelcell.com/wp-content/uploads/2024/11/2021-stationary-application-performance.pdf" TargetMode="External"/><Relationship Id="rId2" Type="http://schemas.openxmlformats.org/officeDocument/2006/relationships/hyperlink" Target="https://www.recip.org/wp-content/uploads/2025/05/EFRC-Report-Review-API-618-6th-edition-API-688-2nd-edition-Part-1-V1.pdf" TargetMode="External"/><Relationship Id="rId29" Type="http://schemas.openxmlformats.org/officeDocument/2006/relationships/hyperlink" Target="https://www.law.go.kr/admRulLsInfoP.do?admRulSeq=2100000237332" TargetMode="External"/><Relationship Id="rId255" Type="http://schemas.openxmlformats.org/officeDocument/2006/relationships/hyperlink" Target="https://doi.org/10.1016/j.rser.2019.03.049" TargetMode="External"/><Relationship Id="rId276" Type="http://schemas.openxmlformats.org/officeDocument/2006/relationships/hyperlink" Target="https://press.siemens.com/global/en/pressrelease/siemens-expands-industrial-copilot-new-generative-ai-powered-maintenance-offering" TargetMode="External"/><Relationship Id="rId297" Type="http://schemas.openxmlformats.org/officeDocument/2006/relationships/hyperlink" Target="https://www.ajunews.com/view/20260913110346855" TargetMode="External"/><Relationship Id="rId40" Type="http://schemas.openxmlformats.org/officeDocument/2006/relationships/hyperlink" Target="https://hyresponder.eu/wp-content/uploads/2021/04/Lecture-2-slides.pdf" TargetMode="External"/><Relationship Id="rId115" Type="http://schemas.openxmlformats.org/officeDocument/2006/relationships/hyperlink" Target="https://www.shinkim.com/kor/media/newsletter/1815" TargetMode="External"/><Relationship Id="rId136" Type="http://schemas.openxmlformats.org/officeDocument/2006/relationships/hyperlink" Target="https://arxiv.org/abs/1707.04567" TargetMode="External"/><Relationship Id="rId157" Type="http://schemas.openxmlformats.org/officeDocument/2006/relationships/hyperlink" Target="https://www.industrynews.co.kr/news/articleView.html?idxno=39594" TargetMode="External"/><Relationship Id="rId178" Type="http://schemas.openxmlformats.org/officeDocument/2006/relationships/hyperlink" Target="https://www.irena.org/-/media/Files/IRENA/Agency/Publication/2020/Dec/IRENA_Green_hydrogen_cost_2020.pdf" TargetMode="External"/><Relationship Id="rId301" Type="http://schemas.openxmlformats.org/officeDocument/2006/relationships/hyperlink" Target="https://www.accure.net/case-studies/imbalanced-racks-bring-commissioning-to-a-standstill" TargetMode="External"/><Relationship Id="rId61" Type="http://schemas.openxmlformats.org/officeDocument/2006/relationships/hyperlink" Target="https://www.aitimes.kr/news/articleView.html?idxno=33191" TargetMode="External"/><Relationship Id="rId82" Type="http://schemas.openxmlformats.org/officeDocument/2006/relationships/hyperlink" Target="https://www.epj.co.kr/news/articleView.html?idxno=22970" TargetMode="External"/><Relationship Id="rId199" Type="http://schemas.openxmlformats.org/officeDocument/2006/relationships/hyperlink" Target="https://pmc.ncbi.nlm.nih.gov/articles/PMC4652867/" TargetMode="External"/><Relationship Id="rId203" Type="http://schemas.openxmlformats.org/officeDocument/2006/relationships/hyperlink" Target="https://h2hub.or.kr/main/info/regulation_info.do?mode=download&amp;articleNo=3039&amp;attachNo=5967" TargetMode="External"/><Relationship Id="rId19" Type="http://schemas.openxmlformats.org/officeDocument/2006/relationships/hyperlink" Target="https://www.sciencedirect.com/science/article/abs/pii/S0360544220321253" TargetMode="External"/><Relationship Id="rId224" Type="http://schemas.openxmlformats.org/officeDocument/2006/relationships/hyperlink" Target="https://www.kpx.or.kr/boardDownload.es?bid=0042&amp;list_no=69381&amp;seq=2" TargetMode="External"/><Relationship Id="rId245" Type="http://schemas.openxmlformats.org/officeDocument/2006/relationships/hyperlink" Target="https://docs.nlr.gov/docs/fy24osti/88769.pdf" TargetMode="External"/><Relationship Id="rId266" Type="http://schemas.openxmlformats.org/officeDocument/2006/relationships/hyperlink" Target="https://arxiv.org/abs/2405.14755" TargetMode="External"/><Relationship Id="rId287" Type="http://schemas.openxmlformats.org/officeDocument/2006/relationships/hyperlink" Target="https://solar.huawei.com/au/news-room/au/2019/news-20190710" TargetMode="External"/><Relationship Id="rId30" Type="http://schemas.openxmlformats.org/officeDocument/2006/relationships/hyperlink" Target="https://doi.org/10.1016/j.ijhydene.2021.08.069" TargetMode="External"/><Relationship Id="rId105" Type="http://schemas.openxmlformats.org/officeDocument/2006/relationships/hyperlink" Target="https://pmc.ncbi.nlm.nih.gov/articles/PMC9772305/" TargetMode="External"/><Relationship Id="rId126" Type="http://schemas.openxmlformats.org/officeDocument/2006/relationships/hyperlink" Target="https://buildings.honeywell.com/us/en/brands/our-brands/li-ion-tamer" TargetMode="External"/><Relationship Id="rId147" Type="http://schemas.openxmlformats.org/officeDocument/2006/relationships/hyperlink" Target="https://arxiv.org/abs/2203.02991" TargetMode="External"/><Relationship Id="rId168" Type="http://schemas.openxmlformats.org/officeDocument/2006/relationships/hyperlink" Target="https://www.industrynews.co.kr/news/articleView.html?idxno=39594" TargetMode="External"/><Relationship Id="rId312" Type="http://schemas.openxmlformats.org/officeDocument/2006/relationships/hyperlink" Target="https://www.electimes.com/news/articleView.html?idxno=355329" TargetMode="External"/><Relationship Id="rId51" Type="http://schemas.openxmlformats.org/officeDocument/2006/relationships/hyperlink" Target="https://bloomenergy.m3iworks.com/wp-content/uploads/bloom-energy-server-datasheet-2023.pdf" TargetMode="External"/><Relationship Id="rId72" Type="http://schemas.openxmlformats.org/officeDocument/2006/relationships/hyperlink" Target="https://fluenceenergy.com/nispera/" TargetMode="External"/><Relationship Id="rId93" Type="http://schemas.openxmlformats.org/officeDocument/2006/relationships/hyperlink" Target="https://www.pv-tech.org/pv-project-power-loss-doubled-in-last-five-years-raptor-maps/" TargetMode="External"/><Relationship Id="rId189" Type="http://schemas.openxmlformats.org/officeDocument/2006/relationships/hyperlink" Target="https://doi.org/10.1016/j.egyai.2024.100420" TargetMode="External"/><Relationship Id="rId3" Type="http://schemas.openxmlformats.org/officeDocument/2006/relationships/hyperlink" Target="https://doi.org/10.1016/j.ijhydene.2025.151309" TargetMode="External"/><Relationship Id="rId214" Type="http://schemas.openxmlformats.org/officeDocument/2006/relationships/hyperlink" Target="https://www.osti.gov/servlets/purl/1603259" TargetMode="External"/><Relationship Id="rId235" Type="http://schemas.openxmlformats.org/officeDocument/2006/relationships/hyperlink" Target="https://cordis.europa.eu/project/id/671486/reporting" TargetMode="External"/><Relationship Id="rId256" Type="http://schemas.openxmlformats.org/officeDocument/2006/relationships/hyperlink" Target="https://deepmind.google/discover/blog/deepmind-ai-reduces-google-data-centre-cooling-bill-by-40/" TargetMode="External"/><Relationship Id="rId277" Type="http://schemas.openxmlformats.org/officeDocument/2006/relationships/hyperlink" Target="https://www.cognite.com/en/company/newsroom/aker-bp-leverages-cognite-atlas-ai-tm-to-pioneer-an-ai-first-future-in-exploration-and" TargetMode="External"/><Relationship Id="rId298" Type="http://schemas.openxmlformats.org/officeDocument/2006/relationships/hyperlink" Target="https://www.aitimes.com/news/articleView.html?idxno=214824" TargetMode="External"/><Relationship Id="rId116" Type="http://schemas.openxmlformats.org/officeDocument/2006/relationships/hyperlink" Target="https://www.pnnl.gov/sites/default/files/media/file/ESGC%20Cost%20Performance%20Report%202022%20PNNL-33283.pdf" TargetMode="External"/><Relationship Id="rId137" Type="http://schemas.openxmlformats.org/officeDocument/2006/relationships/hyperlink" Target="https://www.aurecongroup.com/-/media/files/downloads-library/thought-leadership/aurecon-hornsdale-power-reserve-impact-study-2020.pdf" TargetMode="External"/><Relationship Id="rId158" Type="http://schemas.openxmlformats.org/officeDocument/2006/relationships/hyperlink" Target="https://deepmind.google/discover/blog/machine-learning-can-boost-the-value-of-wind-energy/" TargetMode="External"/><Relationship Id="rId302" Type="http://schemas.openxmlformats.org/officeDocument/2006/relationships/hyperlink" Target="https://www.accure.net/case-studies/140-mwh-bess-europe" TargetMode="External"/><Relationship Id="rId20" Type="http://schemas.openxmlformats.org/officeDocument/2006/relationships/hyperlink" Target="https://www.osti.gov/pages/biblio/1864619" TargetMode="External"/><Relationship Id="rId41" Type="http://schemas.openxmlformats.org/officeDocument/2006/relationships/hyperlink" Target="https://arxiv.org/pdf/1702.06015" TargetMode="External"/><Relationship Id="rId62" Type="http://schemas.openxmlformats.org/officeDocument/2006/relationships/hyperlink" Target="https://www.aitimes.kr/news/articleView.html?idxno=33191" TargetMode="External"/><Relationship Id="rId83" Type="http://schemas.openxmlformats.org/officeDocument/2006/relationships/hyperlink" Target="https://www.accure.net/case-studies/140-mwh-bess-europe" TargetMode="External"/><Relationship Id="rId179" Type="http://schemas.openxmlformats.org/officeDocument/2006/relationships/hyperlink" Target="https://www.irena.org/-/media/Files/IRENA/Agency/Publication/2020/Dec/IRENA_Green_hydrogen_cost_2020.pdf" TargetMode="External"/><Relationship Id="rId190" Type="http://schemas.openxmlformats.org/officeDocument/2006/relationships/hyperlink" Target="https://www.h2news.kr/news/articleView.html?idxno=14258" TargetMode="External"/><Relationship Id="rId204" Type="http://schemas.openxmlformats.org/officeDocument/2006/relationships/hyperlink" Target="https://h2hub.or.kr/main/info/regulation_info.do?mode=download&amp;articleNo=3039&amp;attachNo=5967" TargetMode="External"/><Relationship Id="rId225" Type="http://schemas.openxmlformats.org/officeDocument/2006/relationships/hyperlink" Target="https://www.energy.gov/eere/fuelcells/comparison-fuel-cell-technologies" TargetMode="External"/><Relationship Id="rId246" Type="http://schemas.openxmlformats.org/officeDocument/2006/relationships/hyperlink" Target="https://pdfs.semanticscholar.org/7535/1afe78f698d9c94ea6f0e48183712c19a7d5.pdf" TargetMode="External"/><Relationship Id="rId267" Type="http://schemas.openxmlformats.org/officeDocument/2006/relationships/hyperlink" Target="https://machinelearning.apple.com/research/gsm-symbolic" TargetMode="External"/><Relationship Id="rId288" Type="http://schemas.openxmlformats.org/officeDocument/2006/relationships/hyperlink" Target="https://www.energy.gov/sites/prod/files/2020/04/f74/omguide_complete_w-eo-disclaimer.pdf" TargetMode="External"/><Relationship Id="rId106" Type="http://schemas.openxmlformats.org/officeDocument/2006/relationships/hyperlink" Target="https://www.industrynews.co.kr/news/articleView.html?idxno=51036" TargetMode="External"/><Relationship Id="rId127" Type="http://schemas.openxmlformats.org/officeDocument/2006/relationships/hyperlink" Target="https://www.nature.com/articles/s41560-019-0356-8" TargetMode="External"/><Relationship Id="rId313" Type="http://schemas.openxmlformats.org/officeDocument/2006/relationships/hyperlink" Target="https://v.daum.net/v/4tUksBsAyB" TargetMode="External"/><Relationship Id="rId10" Type="http://schemas.openxmlformats.org/officeDocument/2006/relationships/hyperlink" Target="https://www.iberdrola.com/press-room/news/detail/avangrid-generative-ai-support-wind-farms-in-united-states" TargetMode="External"/><Relationship Id="rId31" Type="http://schemas.openxmlformats.org/officeDocument/2006/relationships/hyperlink" Target="https://arxiv.org/abs/2301.12242" TargetMode="External"/><Relationship Id="rId52" Type="http://schemas.openxmlformats.org/officeDocument/2006/relationships/hyperlink" Target="https://www.dnews.co.kr/uhtml/view.jsp?idxno=202508180830309050942" TargetMode="External"/><Relationship Id="rId73" Type="http://schemas.openxmlformats.org/officeDocument/2006/relationships/hyperlink" Target="https://pdfs.semanticscholar.org/7535/1afe78f698d9c94ea6f0e48183712c19a7d5.pdf" TargetMode="External"/><Relationship Id="rId94" Type="http://schemas.openxmlformats.org/officeDocument/2006/relationships/hyperlink" Target="https://pdfs.semanticscholar.org/7535/1afe78f698d9c94ea6f0e48183712c19a7d5.pdf" TargetMode="External"/><Relationship Id="rId148" Type="http://schemas.openxmlformats.org/officeDocument/2006/relationships/hyperlink" Target="https://arxiv.org/abs/2301.05310" TargetMode="External"/><Relationship Id="rId169" Type="http://schemas.openxmlformats.org/officeDocument/2006/relationships/hyperlink" Target="https://www.law.go.kr/admRulLsInfoP.do?admRulSeq=2100000237332" TargetMode="External"/><Relationship Id="rId4" Type="http://schemas.openxmlformats.org/officeDocument/2006/relationships/hyperlink" Target="https://pdfs.semanticscholar.org/7535/1afe78f698d9c94ea6f0e48183712c19a7d5.pdf" TargetMode="External"/><Relationship Id="rId180" Type="http://schemas.openxmlformats.org/officeDocument/2006/relationships/hyperlink" Target="https://www.energy.gov/cmei/fuels/technical-targets-proton-exchange-membrane-electrolysis" TargetMode="External"/><Relationship Id="rId215" Type="http://schemas.openxmlformats.org/officeDocument/2006/relationships/hyperlink" Target="https://doi.org/10.1016/j.ijhydene.2022.03.170" TargetMode="External"/><Relationship Id="rId236" Type="http://schemas.openxmlformats.org/officeDocument/2006/relationships/hyperlink" Target="https://cordis.europa.eu/project/id/735918/reporting" TargetMode="External"/><Relationship Id="rId257" Type="http://schemas.openxmlformats.org/officeDocument/2006/relationships/hyperlink" Target="https://www.nature.com/articles/s41467-023-41226-5" TargetMode="External"/><Relationship Id="rId278" Type="http://schemas.openxmlformats.org/officeDocument/2006/relationships/hyperlink" Target="https://www.thefairnews.co.kr/news/articleView.html?idxno=39990" TargetMode="External"/><Relationship Id="rId303" Type="http://schemas.openxmlformats.org/officeDocument/2006/relationships/hyperlink" Target="https://restservice.epri.com/publicdownload/000000003002030360/0/Product" TargetMode="External"/><Relationship Id="rId42" Type="http://schemas.openxmlformats.org/officeDocument/2006/relationships/hyperlink" Target="https://www.law.go.kr/&#48277;&#47161;/&#49688;&#49548;&#44221;&#51228;&#50977;&#49457;&#48143;&#49688;&#49548;&#50504;&#51204;&#44288;&#47532;&#50640;&#44288;&#54620;&#48277;&#47456;&#49884;&#54665;&#47161;" TargetMode="External"/><Relationship Id="rId84" Type="http://schemas.openxmlformats.org/officeDocument/2006/relationships/hyperlink" Target="https://www.osti.gov/pages/biblio/1864619" TargetMode="External"/><Relationship Id="rId138" Type="http://schemas.openxmlformats.org/officeDocument/2006/relationships/hyperlink" Target="http://www.energydaily.co.kr/news/articleView.html?idxno=83896" TargetMode="External"/><Relationship Id="rId191" Type="http://schemas.openxmlformats.org/officeDocument/2006/relationships/hyperlink" Target="http://www.h2news.kr/news/articleView.html?idxno=10341" TargetMode="External"/><Relationship Id="rId205" Type="http://schemas.openxmlformats.org/officeDocument/2006/relationships/hyperlink" Target="https://h2hub.or.kr/main/info/regulation_info.do?mode=download&amp;articleNo=3039&amp;attachNo=5967" TargetMode="External"/><Relationship Id="rId247" Type="http://schemas.openxmlformats.org/officeDocument/2006/relationships/hyperlink" Target="https://arxiv.org/abs/2204.01637" TargetMode="External"/><Relationship Id="rId107" Type="http://schemas.openxmlformats.org/officeDocument/2006/relationships/hyperlink" Target="https://www.pv-tech.org/pv-project-power-loss-doubled-in-last-five-years-raptor-maps/" TargetMode="External"/><Relationship Id="rId289" Type="http://schemas.openxmlformats.org/officeDocument/2006/relationships/hyperlink" Target="https://www.accure.net/case-studies/50-mwh-bess-europe" TargetMode="External"/><Relationship Id="rId11" Type="http://schemas.openxmlformats.org/officeDocument/2006/relationships/hyperlink" Target="https://www.accure.net/case-studies/imbalanced-racks-bring-commissioning-to-a-standstill" TargetMode="External"/><Relationship Id="rId53" Type="http://schemas.openxmlformats.org/officeDocument/2006/relationships/hyperlink" Target="https://www.sciencedirect.com/science/article/abs/pii/S036031990800476X" TargetMode="External"/><Relationship Id="rId149" Type="http://schemas.openxmlformats.org/officeDocument/2006/relationships/hyperlink" Target="https://arxiv.org/abs/2503.17092" TargetMode="External"/><Relationship Id="rId314" Type="http://schemas.openxmlformats.org/officeDocument/2006/relationships/hyperlink" Target="https://app.rndcircle.io/gov-grant/5f1bfc5f-45c2-485f-b78e-e2a19ca5b61e" TargetMode="External"/><Relationship Id="rId95" Type="http://schemas.openxmlformats.org/officeDocument/2006/relationships/hyperlink" Target="https://ieeexplore.ieee.org/document/9272625/" TargetMode="External"/><Relationship Id="rId160" Type="http://schemas.openxmlformats.org/officeDocument/2006/relationships/hyperlink" Target="https://www.nedo.go.jp/english/news/AA5en_100422.html" TargetMode="External"/><Relationship Id="rId216" Type="http://schemas.openxmlformats.org/officeDocument/2006/relationships/hyperlink" Target="https://doi.org/10.1109/iceccme52200.2021.9590853" TargetMode="External"/><Relationship Id="rId258" Type="http://schemas.openxmlformats.org/officeDocument/2006/relationships/hyperlink" Target="https://www.nature.com/articles/s41586-020-1994-5" TargetMode="External"/><Relationship Id="rId22" Type="http://schemas.openxmlformats.org/officeDocument/2006/relationships/hyperlink" Target="https://pubs.rsc.org/en/content/articlehtml/2014/ra/c3ra45748f" TargetMode="External"/><Relationship Id="rId64" Type="http://schemas.openxmlformats.org/officeDocument/2006/relationships/hyperlink" Target="https://arxiv.org/abs/2607.01992" TargetMode="External"/><Relationship Id="rId118" Type="http://schemas.openxmlformats.org/officeDocument/2006/relationships/hyperlink" Target="https://www.renewableenergymagazine.com/storage/accure-releases-2025-energy-storage-system-health-20250910" TargetMode="External"/><Relationship Id="rId171" Type="http://schemas.openxmlformats.org/officeDocument/2006/relationships/hyperlink" Target="https://www.irena.org/-/media/Files/IRENA/Agency/Publication/2020/Dec/IRENA_Green_hydrogen_cost_2020.pdf" TargetMode="External"/><Relationship Id="rId227" Type="http://schemas.openxmlformats.org/officeDocument/2006/relationships/hyperlink" Target="https://ieafuelcell.com/wp-content/uploads/2024/11/2021-stationary-application-performance.pdf" TargetMode="External"/><Relationship Id="rId269" Type="http://schemas.openxmlformats.org/officeDocument/2006/relationships/hyperlink" Target="https://arxiv.org/abs/2405.20362" TargetMode="External"/><Relationship Id="rId33" Type="http://schemas.openxmlformats.org/officeDocument/2006/relationships/hyperlink" Target="https://arxiv.org/abs/2210.00801" TargetMode="External"/><Relationship Id="rId129" Type="http://schemas.openxmlformats.org/officeDocument/2006/relationships/hyperlink" Target="https://doi.org/10.1038/s41467-024-48779-z" TargetMode="External"/><Relationship Id="rId280" Type="http://schemas.openxmlformats.org/officeDocument/2006/relationships/hyperlink" Target="https://iea-pvps.org/key-topics/quantification-of-technical-risks-in-pv-power-systems/" TargetMode="External"/><Relationship Id="rId75" Type="http://schemas.openxmlformats.org/officeDocument/2006/relationships/hyperlink" Target="https://www.thyssenkrupp-nucera.com/newsroom/blog/how-thyssenkrupp-nucera-is-advancing-the-green-hydrogen-economy-through-digital-service-excellence" TargetMode="External"/><Relationship Id="rId140" Type="http://schemas.openxmlformats.org/officeDocument/2006/relationships/hyperlink" Target="https://www.nature.com/articles/s41560-019-0356-8" TargetMode="External"/><Relationship Id="rId182" Type="http://schemas.openxmlformats.org/officeDocument/2006/relationships/hyperlink" Target="https://iea.blob.core.windows.net/assets/12d92ecc-e960-40f3-aff5-b2de6690ab6b/GlobalHydrogenReview2025.pdf" TargetMode="External"/><Relationship Id="rId6" Type="http://schemas.openxmlformats.org/officeDocument/2006/relationships/hyperlink" Target="https://www.sciencedirect.com/science/article/pii/S2590116823000802" TargetMode="External"/><Relationship Id="rId238" Type="http://schemas.openxmlformats.org/officeDocument/2006/relationships/hyperlink" Target="https://www.mdpi.com/1996-1073/13/9/2338" TargetMode="External"/><Relationship Id="rId291" Type="http://schemas.openxmlformats.org/officeDocument/2006/relationships/hyperlink" Target="https://www.sec.gov/Archives/edgar/data/1664703/000166470322000034/be-20211231.htm" TargetMode="External"/><Relationship Id="rId305" Type="http://schemas.openxmlformats.org/officeDocument/2006/relationships/hyperlink" Target="https://pvops.readthedocs.io/en/latest/" TargetMode="External"/><Relationship Id="rId44" Type="http://schemas.openxmlformats.org/officeDocument/2006/relationships/hyperlink" Target="https://www.newspim.com/news/view/20260609000406" TargetMode="External"/><Relationship Id="rId86" Type="http://schemas.openxmlformats.org/officeDocument/2006/relationships/hyperlink" Target="https://cyber.kepco.co.kr/ckepco/front/jsp/CY/H/C/CYHCHP00802.jsp" TargetMode="External"/><Relationship Id="rId151" Type="http://schemas.openxmlformats.org/officeDocument/2006/relationships/hyperlink" Target="https://www.law.go.kr/admRulLsInfoP.do?admRulSeq=2100000237332" TargetMode="External"/></Relationships>
</file>

<file path=xl/worksheets/_rels/sheet14.xml.rels><?xml version="1.0" encoding="UTF-8" standalone="yes"?>
<Relationships xmlns="http://schemas.openxmlformats.org/package/2006/relationships"><Relationship Id="rId117" Type="http://schemas.openxmlformats.org/officeDocument/2006/relationships/hyperlink" Target="https://www.nature.com/articles/s41598-024-61596-0" TargetMode="External"/><Relationship Id="rId21" Type="http://schemas.openxmlformats.org/officeDocument/2006/relationships/hyperlink" Target="https://www.erlphase.com/downloads/papers/WPRC2010_Fundamental_Principles_of_Transformer_Thermal_Loading.pdf" TargetMode="External"/><Relationship Id="rId324" Type="http://schemas.openxmlformats.org/officeDocument/2006/relationships/hyperlink" Target="https://pmc.ncbi.nlm.nih.gov/articles/PMC9890517/" TargetMode="External"/><Relationship Id="rId531" Type="http://schemas.openxmlformats.org/officeDocument/2006/relationships/hyperlink" Target="https://www.iso.org/standard/9169.html" TargetMode="External"/><Relationship Id="rId170" Type="http://schemas.openxmlformats.org/officeDocument/2006/relationships/hyperlink" Target="https://www.eiga.eu/uploads/documents/DOC246.pdf" TargetMode="External"/><Relationship Id="rId268" Type="http://schemas.openxmlformats.org/officeDocument/2006/relationships/hyperlink" Target="https://www.h2news.kr/news/articleView.html?idxno=13121" TargetMode="External"/><Relationship Id="rId475" Type="http://schemas.openxmlformats.org/officeDocument/2006/relationships/hyperlink" Target="https://www.energydaily.co.kr/news/articleView.html?idxno=201416" TargetMode="External"/><Relationship Id="rId32" Type="http://schemas.openxmlformats.org/officeDocument/2006/relationships/hyperlink" Target="https://www.energy.gov/cmei/fuels/technical-targets-proton-exchange-membrane-electrolysis" TargetMode="External"/><Relationship Id="rId128" Type="http://schemas.openxmlformats.org/officeDocument/2006/relationships/hyperlink" Target="http://www.energydaily.co.kr/news/articleView.html?idxno=83896" TargetMode="External"/><Relationship Id="rId335" Type="http://schemas.openxmlformats.org/officeDocument/2006/relationships/hyperlink" Target="https://arxiv.org/abs/2009.13807" TargetMode="External"/><Relationship Id="rId542" Type="http://schemas.openxmlformats.org/officeDocument/2006/relationships/hyperlink" Target="https://www.astm.org/Standards/D4516.htm" TargetMode="External"/><Relationship Id="rId181" Type="http://schemas.openxmlformats.org/officeDocument/2006/relationships/hyperlink" Target="https://doi.org/10.1016/j.ijhydene.2020.12.111" TargetMode="External"/><Relationship Id="rId402" Type="http://schemas.openxmlformats.org/officeDocument/2006/relationships/hyperlink" Target="https://academic.oup.com/qje/article/140/2/889/7990658" TargetMode="External"/><Relationship Id="rId279" Type="http://schemas.openxmlformats.org/officeDocument/2006/relationships/hyperlink" Target="https://www.sciencedirect.com/science/article/abs/pii/S0306261918315563" TargetMode="External"/><Relationship Id="rId486" Type="http://schemas.openxmlformats.org/officeDocument/2006/relationships/hyperlink" Target="https://www.nexanteca.com/blog/making-money-out-thin-air-valorizing-oxygen-byproduct-green-hydrogen-production" TargetMode="External"/><Relationship Id="rId43" Type="http://schemas.openxmlformats.org/officeDocument/2006/relationships/hyperlink" Target="https://www.law.go.kr/LSW/flDownload.do?gubun=&amp;flSeq=164930287&amp;bylClsCd=110201" TargetMode="External"/><Relationship Id="rId139" Type="http://schemas.openxmlformats.org/officeDocument/2006/relationships/hyperlink" Target="https://www.ulex.co.kr/%EB%B2%95%EB%A5%A0/2100000237332-88297-%EC%B2%AD%EC%A0%95%EC%88%98%EC%86%8C%EC%9D%B8" TargetMode="External"/><Relationship Id="rId346" Type="http://schemas.openxmlformats.org/officeDocument/2006/relationships/hyperlink" Target="https://doi.org/10.1109/TR.2015.2454499" TargetMode="External"/><Relationship Id="rId553" Type="http://schemas.openxmlformats.org/officeDocument/2006/relationships/hyperlink" Target="https://www.analyzedetectnetwork.com/manuals/r67iwoJ4WL.pdf" TargetMode="External"/><Relationship Id="rId192" Type="http://schemas.openxmlformats.org/officeDocument/2006/relationships/hyperlink" Target="https://doi.org/10.1016/j.ces.2026.124145" TargetMode="External"/><Relationship Id="rId206" Type="http://schemas.openxmlformats.org/officeDocument/2006/relationships/hyperlink" Target="https://www.gasnews.com/news/articleView.html?idxno=105251" TargetMode="External"/><Relationship Id="rId413" Type="http://schemas.openxmlformats.org/officeDocument/2006/relationships/hyperlink" Target="https://techcrunch.com/2023/05/02/samsung-bans-use-of-generative-ai-tools-like-chatgpt-after-april-internal-data-leak/" TargetMode="External"/><Relationship Id="rId497" Type="http://schemas.openxmlformats.org/officeDocument/2006/relationships/hyperlink" Target="http://www.gasnews.com/news/articleView.html?idxno=95397" TargetMode="External"/><Relationship Id="rId357" Type="http://schemas.openxmlformats.org/officeDocument/2006/relationships/hyperlink" Target="https://arxiv.org/abs/2310.10688" TargetMode="External"/><Relationship Id="rId54" Type="http://schemas.openxmlformats.org/officeDocument/2006/relationships/hyperlink" Target="https://docs.nlr.gov/docs/fy14osti/60796.pdf" TargetMode="External"/><Relationship Id="rId217" Type="http://schemas.openxmlformats.org/officeDocument/2006/relationships/hyperlink" Target="https://www.sciencedirect.com/science/article/pii/S2352152X25019991" TargetMode="External"/><Relationship Id="rId564" Type="http://schemas.openxmlformats.org/officeDocument/2006/relationships/hyperlink" Target="https://www.api.org/~/media/files/publications/whats%20new/527_e4%20pa.pdf" TargetMode="External"/><Relationship Id="rId424" Type="http://schemas.openxmlformats.org/officeDocument/2006/relationships/hyperlink" Target="https://v.daum.net/v/20250619192936637?f=p" TargetMode="External"/><Relationship Id="rId270" Type="http://schemas.openxmlformats.org/officeDocument/2006/relationships/hyperlink" Target="https://cordis.europa.eu/project/id/671486/reporting" TargetMode="External"/><Relationship Id="rId65" Type="http://schemas.openxmlformats.org/officeDocument/2006/relationships/hyperlink" Target="https://vbn.aau.dk/en/publications/on-the-perturb-and-observe-and-incremental-conductance-mppt-metho/" TargetMode="External"/><Relationship Id="rId130" Type="http://schemas.openxmlformats.org/officeDocument/2006/relationships/hyperlink" Target="https://cq4l.com/kec510%EC%A0%84%EA%B8%B0%EC%A0%80%EC%9E%A5%EC%9E%A5%EC%B9%98/" TargetMode="External"/><Relationship Id="rId368" Type="http://schemas.openxmlformats.org/officeDocument/2006/relationships/hyperlink" Target="https://www.kpx.or.kr/board.es?mid=a10504030000&amp;bid=0048&amp;act=view&amp;list_no=71147&amp;tag=&amp;nPage=1" TargetMode="External"/><Relationship Id="rId575" Type="http://schemas.openxmlformats.org/officeDocument/2006/relationships/hyperlink" Target="https://www.energy.gov/eere/fuelcells/hydrogen-tube-trailers" TargetMode="External"/><Relationship Id="rId228" Type="http://schemas.openxmlformats.org/officeDocument/2006/relationships/hyperlink" Target="https://www.sciencedirect.com/science/article/abs/pii/S0360319921025544" TargetMode="External"/><Relationship Id="rId435" Type="http://schemas.openxmlformats.org/officeDocument/2006/relationships/hyperlink" Target="https://solarquarter.com/2026/02/17/benchmarking-dc-health-protecting-revenue-in-expanding-solar-fleets/" TargetMode="External"/><Relationship Id="rId281" Type="http://schemas.openxmlformats.org/officeDocument/2006/relationships/hyperlink" Target="https://www.sciencedirect.com/science/article/abs/pii/S0360319925041850" TargetMode="External"/><Relationship Id="rId502" Type="http://schemas.openxmlformats.org/officeDocument/2006/relationships/hyperlink" Target="https://www.gasnews.com/news/articleView.html?idxno=110558" TargetMode="External"/><Relationship Id="rId76" Type="http://schemas.openxmlformats.org/officeDocument/2006/relationships/hyperlink" Target="https://arxiv.org/abs/1807.02894" TargetMode="External"/><Relationship Id="rId141" Type="http://schemas.openxmlformats.org/officeDocument/2006/relationships/hyperlink" Target="https://www.kimchang.com/ko/insights/detail.kc?sch_section=4&amp;idx=28651" TargetMode="External"/><Relationship Id="rId379" Type="http://schemas.openxmlformats.org/officeDocument/2006/relationships/hyperlink" Target="https://arxiv.org/abs/2305.14627" TargetMode="External"/><Relationship Id="rId586" Type="http://schemas.openxmlformats.org/officeDocument/2006/relationships/hyperlink" Target="https://www.emerson.com/en-us/news/automation/20-09-coriolis-high-pressure" TargetMode="External"/><Relationship Id="rId7" Type="http://schemas.openxmlformats.org/officeDocument/2006/relationships/hyperlink" Target="https://www.cell.com/joule/fulltext/S2542-4351(19)30422-2" TargetMode="External"/><Relationship Id="rId239" Type="http://schemas.openxmlformats.org/officeDocument/2006/relationships/hyperlink" Target="https://doi.org/10.1016/j.ijhydene.2016.08.060" TargetMode="External"/><Relationship Id="rId446" Type="http://schemas.openxmlformats.org/officeDocument/2006/relationships/hyperlink" Target="https://www.windpower-international.com/analysis/engies-darwin-project-the-evolution-of-data-management-6124931/" TargetMode="External"/><Relationship Id="rId292" Type="http://schemas.openxmlformats.org/officeDocument/2006/relationships/hyperlink" Target="https://developer.sma.de/api-plans" TargetMode="External"/><Relationship Id="rId306" Type="http://schemas.openxmlformats.org/officeDocument/2006/relationships/hyperlink" Target="https://restservice.epri.com/publicdownload/000000003002030360/0/Product" TargetMode="External"/><Relationship Id="rId87" Type="http://schemas.openxmlformats.org/officeDocument/2006/relationships/hyperlink" Target="https://resources.solmetric.com/get/Guide%20to%20Interpreting%20I-V%20Curves.pdf" TargetMode="External"/><Relationship Id="rId513" Type="http://schemas.openxmlformats.org/officeDocument/2006/relationships/hyperlink" Target="https://www.alfalaval.co.uk/products/heat-transfer/plate-heat-exchangers/gasketed-plate-and-frame-heat-exchangers/calculation-method/" TargetMode="External"/><Relationship Id="rId597" Type="http://schemas.openxmlformats.org/officeDocument/2006/relationships/hyperlink" Target="https://www.innopolis.or.kr/fileDownload?titleId=182136&amp;fileId=1&amp;fileDownType=C&#182;mMenuId=MENU00318" TargetMode="External"/><Relationship Id="rId152" Type="http://schemas.openxmlformats.org/officeDocument/2006/relationships/hyperlink" Target="https://en.wikipedia.org/wiki/Precision_Time_Protocol" TargetMode="External"/><Relationship Id="rId457" Type="http://schemas.openxmlformats.org/officeDocument/2006/relationships/hyperlink" Target="https://www.clean-hydrogen.europa.eu/projects-dashboard/projects-repository/health-code_en" TargetMode="External"/><Relationship Id="rId14" Type="http://schemas.openxmlformats.org/officeDocument/2006/relationships/hyperlink" Target="https://www.linkedin.com/pulse/part-1-2-weather-data-acquisition-according-iec-61724-1-thomas-boldt" TargetMode="External"/><Relationship Id="rId56" Type="http://schemas.openxmlformats.org/officeDocument/2006/relationships/hyperlink" Target="https://www.osti.gov/pages/biblio/1864619" TargetMode="External"/><Relationship Id="rId317" Type="http://schemas.openxmlformats.org/officeDocument/2006/relationships/hyperlink" Target="https://casenote.kr/&#48277;&#47161;/&#49688;&#49548;&#44221;&#51228;_&#50977;&#49457;_&#48143;_&#49688;&#49548;_&#50504;&#51204;&#44288;&#47532;&#50640;_&#44288;&#54620;_&#48277;&#47456;_&#49884;&#54665;&#44508;&#52825;" TargetMode="External"/><Relationship Id="rId359" Type="http://schemas.openxmlformats.org/officeDocument/2006/relationships/hyperlink" Target="https://doi.org/10.1109/TSG.2020.2986333" TargetMode="External"/><Relationship Id="rId524" Type="http://schemas.openxmlformats.org/officeDocument/2006/relationships/hyperlink" Target="https://www.hellodd.com/news/articleView.html?idxno=64967" TargetMode="External"/><Relationship Id="rId566" Type="http://schemas.openxmlformats.org/officeDocument/2006/relationships/hyperlink" Target="https://www.gasnews.com/bbs/view.html?idxno=60133" TargetMode="External"/><Relationship Id="rId98" Type="http://schemas.openxmlformats.org/officeDocument/2006/relationships/hyperlink" Target="https://docs.nlr.gov/docs/fy17osti/67102.pdf" TargetMode="External"/><Relationship Id="rId121" Type="http://schemas.openxmlformats.org/officeDocument/2006/relationships/hyperlink" Target="https://patents.google.com/patent/KR20160069397A/ko" TargetMode="External"/><Relationship Id="rId163" Type="http://schemas.openxmlformats.org/officeDocument/2006/relationships/hyperlink" Target="https://www.hukx.com/us/applications/the-iec-61724-12021-standard-for-pv-monitoring-systems-a-quick-explanation" TargetMode="External"/><Relationship Id="rId219" Type="http://schemas.openxmlformats.org/officeDocument/2006/relationships/hyperlink" Target="https://doi.org/10.1016/j.ijhydene.2023.06.214" TargetMode="External"/><Relationship Id="rId370" Type="http://schemas.openxmlformats.org/officeDocument/2006/relationships/hyperlink" Target="https://data.kma.go.kr/" TargetMode="External"/><Relationship Id="rId426" Type="http://schemas.openxmlformats.org/officeDocument/2006/relationships/hyperlink" Target="https://huggingface.co/LGAI-EXAONE/EXAONE-4.0-32B" TargetMode="External"/><Relationship Id="rId230" Type="http://schemas.openxmlformats.org/officeDocument/2006/relationships/hyperlink" Target="https://pmc.ncbi.nlm.nih.gov/articles/PMC3444121/" TargetMode="External"/><Relationship Id="rId468" Type="http://schemas.openxmlformats.org/officeDocument/2006/relationships/hyperlink" Target="https://www.electimes.com/news/articleView.html?idxno=355329" TargetMode="External"/><Relationship Id="rId25" Type="http://schemas.openxmlformats.org/officeDocument/2006/relationships/hyperlink" Target="https://www.pnnl.gov/sites/default/files/media/file/ESGC%20Cost%20Performance%20Report%202022%20PNNL-33283.pdf" TargetMode="External"/><Relationship Id="rId67" Type="http://schemas.openxmlformats.org/officeDocument/2006/relationships/hyperlink" Target="https://www2.nrel.gov/grid/ieee-standard-1547/anti-islanding" TargetMode="External"/><Relationship Id="rId272" Type="http://schemas.openxmlformats.org/officeDocument/2006/relationships/hyperlink" Target="https://pmc.ncbi.nlm.nih.gov/articles/PMC12446379/" TargetMode="External"/><Relationship Id="rId328" Type="http://schemas.openxmlformats.org/officeDocument/2006/relationships/hyperlink" Target="https://iea-pvps.org/wp-content/uploads/2021/10/Final-Executive-Summary-IEA-PVPS-T13-19_2021_PV-Failure-Monitoring.pdf" TargetMode="External"/><Relationship Id="rId535" Type="http://schemas.openxmlformats.org/officeDocument/2006/relationships/hyperlink" Target="https://www.irena.org/-/media/Files/IRENA/Agency/Publication/2023/Dec/IRENA_Bluerisk_Water_for_hydrogen_production_2023.pdf" TargetMode="External"/><Relationship Id="rId577" Type="http://schemas.openxmlformats.org/officeDocument/2006/relationships/hyperlink" Target="https://www.eiga.eu/uploads/documents/TB051.pdf" TargetMode="External"/><Relationship Id="rId132" Type="http://schemas.openxmlformats.org/officeDocument/2006/relationships/hyperlink" Target="https://www.iea.org/reports/global-hydrogen-review-2025" TargetMode="External"/><Relationship Id="rId174" Type="http://schemas.openxmlformats.org/officeDocument/2006/relationships/hyperlink" Target="https://www.powermag.com/fukushima-hydrogen-energy-research-field-demonstrates-hydrogen-integration/" TargetMode="External"/><Relationship Id="rId381" Type="http://schemas.openxmlformats.org/officeDocument/2006/relationships/hyperlink" Target="https://www.prnewswire.com/news-releases/epri-publishes-first-electric-sector-benchmarking-results-of-public-llms-302635785.html" TargetMode="External"/><Relationship Id="rId602" Type="http://schemas.openxmlformats.org/officeDocument/2006/relationships/hyperlink" Target="http://www.engjournal.co.kr/news/articleView.html?idxno=3258" TargetMode="External"/><Relationship Id="rId241" Type="http://schemas.openxmlformats.org/officeDocument/2006/relationships/hyperlink" Target="https://doi.org/10.1016/j.aej.2016.12.010" TargetMode="External"/><Relationship Id="rId437" Type="http://schemas.openxmlformats.org/officeDocument/2006/relationships/hyperlink" Target="https://www.accure.net/company/case-studies" TargetMode="External"/><Relationship Id="rId479" Type="http://schemas.openxmlformats.org/officeDocument/2006/relationships/hyperlink" Target="https://www.doosanfuelcell.com/kr/intro/intr-0401/" TargetMode="External"/><Relationship Id="rId36" Type="http://schemas.openxmlformats.org/officeDocument/2006/relationships/hyperlink" Target="https://iopscience.iop.org/article/10.1149/2.0421908jes" TargetMode="External"/><Relationship Id="rId283" Type="http://schemas.openxmlformats.org/officeDocument/2006/relationships/hyperlink" Target="https://en.wikipedia.org/wiki/Proton-exchange_membrane_fuel_cell" TargetMode="External"/><Relationship Id="rId339" Type="http://schemas.openxmlformats.org/officeDocument/2006/relationships/hyperlink" Target="https://arxiv.org/abs/1607.00148" TargetMode="External"/><Relationship Id="rId490" Type="http://schemas.openxmlformats.org/officeDocument/2006/relationships/hyperlink" Target="https://www.law.go.kr/LSW/flDownload.do?flSeq=51958249" TargetMode="External"/><Relationship Id="rId504" Type="http://schemas.openxmlformats.org/officeDocument/2006/relationships/hyperlink" Target="https://www.gasnews.com/news/articleView.html?idxno=115366" TargetMode="External"/><Relationship Id="rId546" Type="http://schemas.openxmlformats.org/officeDocument/2006/relationships/hyperlink" Target="https://genesiswatertech.com/blog-post/optimizing-silica-fouling-control-in-reverse-osmosis-systems/" TargetMode="External"/><Relationship Id="rId78" Type="http://schemas.openxmlformats.org/officeDocument/2006/relationships/hyperlink" Target="https://www.industrynews.co.kr/news/articleView.html?idxno=51036" TargetMode="External"/><Relationship Id="rId101" Type="http://schemas.openxmlformats.org/officeDocument/2006/relationships/hyperlink" Target="https://www.nature.com/articles/s41586-020-1994-5" TargetMode="External"/><Relationship Id="rId143" Type="http://schemas.openxmlformats.org/officeDocument/2006/relationships/hyperlink" Target="https://k-esg.org/esghub/esg_news_view?idx=4184" TargetMode="External"/><Relationship Id="rId185" Type="http://schemas.openxmlformats.org/officeDocument/2006/relationships/hyperlink" Target="https://arxiv.org/abs/2507.02887" TargetMode="External"/><Relationship Id="rId350" Type="http://schemas.openxmlformats.org/officeDocument/2006/relationships/hyperlink" Target="https://doi.org/10.1016/j.mfglet.2020.11.001" TargetMode="External"/><Relationship Id="rId406" Type="http://schemas.openxmlformats.org/officeDocument/2006/relationships/hyperlink" Target="https://www.iberdrola.com/press-room/news/detail/avangrid-generative-ai-support-wind-farms-in-united-states" TargetMode="External"/><Relationship Id="rId588" Type="http://schemas.openxmlformats.org/officeDocument/2006/relationships/hyperlink" Target="https://h2tools.org/hyarc/calculator-tools/hydrogen-conversions-calculator" TargetMode="External"/><Relationship Id="rId9" Type="http://schemas.openxmlformats.org/officeDocument/2006/relationships/hyperlink" Target="https://www.solarpowereurope.org/insights/thematic-reports/operation-and-maintenance-best-practice-guidelines-version-6-0-1%20/%20https:/oie.rs/wp-content/uploads/2025/02/SolarPower-Europe-OM-Best-Practices-Guidelines-1-1.pdf" TargetMode="External"/><Relationship Id="rId210" Type="http://schemas.openxmlformats.org/officeDocument/2006/relationships/hyperlink" Target="https://nelhydrogen.com/press-release/nel-asa-status-update-5-regarding-incident-at-kjorbo/" TargetMode="External"/><Relationship Id="rId392" Type="http://schemas.openxmlformats.org/officeDocument/2006/relationships/hyperlink" Target="https://claude.com/blog/introducing-citations-api" TargetMode="External"/><Relationship Id="rId448" Type="http://schemas.openxmlformats.org/officeDocument/2006/relationships/hyperlink" Target="https://ieeexplore.ieee.org/document/6305521/" TargetMode="External"/><Relationship Id="rId252" Type="http://schemas.openxmlformats.org/officeDocument/2006/relationships/hyperlink" Target="https://www.electimes.com/news/articleView.html?idxno=332044" TargetMode="External"/><Relationship Id="rId294" Type="http://schemas.openxmlformats.org/officeDocument/2006/relationships/hyperlink" Target="https://nvlpubs.nist.gov/nistpubs/ir/2024/NIST.IR.8498.pdf" TargetMode="External"/><Relationship Id="rId308" Type="http://schemas.openxmlformats.org/officeDocument/2006/relationships/hyperlink" Target="https://www.theoj.org/joss-papers/joss.05755/10.21105.joss.05755.pdf" TargetMode="External"/><Relationship Id="rId515" Type="http://schemas.openxmlformats.org/officeDocument/2006/relationships/hyperlink" Target="https://www.sciencedirect.com/science/article/pii/S2666202721000021" TargetMode="External"/><Relationship Id="rId47" Type="http://schemas.openxmlformats.org/officeDocument/2006/relationships/hyperlink" Target="https://www.pdcmachines.com/hydrogen-compressors-for-hydrogen-refueling-stations/" TargetMode="External"/><Relationship Id="rId89" Type="http://schemas.openxmlformats.org/officeDocument/2006/relationships/hyperlink" Target="https://www.korea.kr/news/policyNewsView.do?newsId=156335827" TargetMode="External"/><Relationship Id="rId112" Type="http://schemas.openxmlformats.org/officeDocument/2006/relationships/hyperlink" Target="https://iopscience.iop.org/article/10.1149/1945-7111/abd3b8" TargetMode="External"/><Relationship Id="rId154" Type="http://schemas.openxmlformats.org/officeDocument/2006/relationships/hyperlink" Target="https://deepmind.google/discover/blog/machine-learning-can-boost-the-value-of-wind-energy/" TargetMode="External"/><Relationship Id="rId361" Type="http://schemas.openxmlformats.org/officeDocument/2006/relationships/hyperlink" Target="https://www.nature.com/articles/s42254-021-00314-5" TargetMode="External"/><Relationship Id="rId557" Type="http://schemas.openxmlformats.org/officeDocument/2006/relationships/hyperlink" Target="https://www.osti.gov/servlets/purl/1813659" TargetMode="External"/><Relationship Id="rId599" Type="http://schemas.openxmlformats.org/officeDocument/2006/relationships/hyperlink" Target="https://www.cvinfo.com/news/articleView.html?idxno=26588" TargetMode="External"/><Relationship Id="rId196" Type="http://schemas.openxmlformats.org/officeDocument/2006/relationships/hyperlink" Target="https://www.siemens.com/en-us/industries/chemicals/hydrogen/electrolyzer-condition-monitoring/" TargetMode="External"/><Relationship Id="rId417" Type="http://schemas.openxmlformats.org/officeDocument/2006/relationships/hyperlink" Target="https://www.hankyung.com/article/202406262057Y" TargetMode="External"/><Relationship Id="rId459" Type="http://schemas.openxmlformats.org/officeDocument/2006/relationships/hyperlink" Target="https://www.frontiersin.org/journals/energy-efficiency/articles/10.3389/fenef.2024.1437214/full" TargetMode="External"/><Relationship Id="rId16" Type="http://schemas.openxmlformats.org/officeDocument/2006/relationships/hyperlink" Target="https://atb.nlr.gov/electricity/2024/utility-scale_pv" TargetMode="External"/><Relationship Id="rId221" Type="http://schemas.openxmlformats.org/officeDocument/2006/relationships/hyperlink" Target="https://www.greencarcongress.com/2014/10/20141006-linde.html" TargetMode="External"/><Relationship Id="rId263" Type="http://schemas.openxmlformats.org/officeDocument/2006/relationships/hyperlink" Target="https://www.doosanfuelcell.com/en/prod/prod-0102/" TargetMode="External"/><Relationship Id="rId319" Type="http://schemas.openxmlformats.org/officeDocument/2006/relationships/hyperlink" Target="https://casenote.kr/&#48277;&#47161;/&#49328;&#50629;&#50504;&#51204;&#48372;&#44148;&#48277;_&#49884;&#54665;&#47161;" TargetMode="External"/><Relationship Id="rId470" Type="http://schemas.openxmlformats.org/officeDocument/2006/relationships/hyperlink" Target="https://www.electimes.com/news/articleView.html?idxno=332823" TargetMode="External"/><Relationship Id="rId526" Type="http://schemas.openxmlformats.org/officeDocument/2006/relationships/hyperlink" Target="https://pubs.rsc.org/en/content/articlehtml/2022/ma/d2ma00185c" TargetMode="External"/><Relationship Id="rId58" Type="http://schemas.openxmlformats.org/officeDocument/2006/relationships/hyperlink" Target="https://rdtools.readthedocs.io/en/stable/" TargetMode="External"/><Relationship Id="rId123" Type="http://schemas.openxmlformats.org/officeDocument/2006/relationships/hyperlink" Target="https://buildings.honeywell.com/us/en/brands/our-brands/li-ion-tamer" TargetMode="External"/><Relationship Id="rId330" Type="http://schemas.openxmlformats.org/officeDocument/2006/relationships/hyperlink" Target="https://www.aveva.com/en/perspectives/success-stories/duke-energy/" TargetMode="External"/><Relationship Id="rId568" Type="http://schemas.openxmlformats.org/officeDocument/2006/relationships/hyperlink" Target="https://www.pressurecontrolsolutions.com/blogs/how-do-you-select-the-right-pressure-regulator-material-for-hydrogen-service/" TargetMode="External"/><Relationship Id="rId165" Type="http://schemas.openxmlformats.org/officeDocument/2006/relationships/hyperlink" Target="http://15887642.com/board/data/notice/108$1$%EC%8B%A0%EC%9E%AC%EC%83%9D%EC%97%90%EB%84%88%EC%A7%80%20%ED%86%B5%ED%95%A9%EB%AA%A8%EB%8B%88%ED%84%B0%EB%A7%81%EC%8B%9C%EC%8A%A4%ED%85%9C(REMS)%20%EC%86%8C%EA%B0%9C%20%EB%B0%8F%20%EC%97%B0%EB%8F%99%EC%95%88%EB%82%B4(%EA%B3%B5%EA%B3%B5%EA%B8%B0%EA%B4%80%20%ED%83%9C%EC%96%91%EA%B4%91%EC%82%AC%EC%97%85%20%EC%84%A4%EB%AA%85%ED%9A%8C,%20190213).pdf" TargetMode="External"/><Relationship Id="rId372" Type="http://schemas.openxmlformats.org/officeDocument/2006/relationships/hyperlink" Target="https://arxiv.org/abs/2406.16964" TargetMode="External"/><Relationship Id="rId428" Type="http://schemas.openxmlformats.org/officeDocument/2006/relationships/hyperlink" Target="https://huggingface.co/naver-hyperclovax/HyperCLOVAX-SEED-Think-32B" TargetMode="External"/><Relationship Id="rId232" Type="http://schemas.openxmlformats.org/officeDocument/2006/relationships/hyperlink" Target="https://image-ppubs.uspto.gov/dirsearch-public/print/downloadPdf/5311167" TargetMode="External"/><Relationship Id="rId274" Type="http://schemas.openxmlformats.org/officeDocument/2006/relationships/hyperlink" Target="https://pmc.ncbi.nlm.nih.gov/articles/PMC9824588/" TargetMode="External"/><Relationship Id="rId481" Type="http://schemas.openxmlformats.org/officeDocument/2006/relationships/hyperlink" Target="https://www.h2news.kr/news/articleView.html?idxno=12504" TargetMode="External"/><Relationship Id="rId27" Type="http://schemas.openxmlformats.org/officeDocument/2006/relationships/hyperlink" Target="https://restservice.epri.com/publicdownload/000000003002030360/0/Product" TargetMode="External"/><Relationship Id="rId69" Type="http://schemas.openxmlformats.org/officeDocument/2006/relationships/hyperlink" Target="https://cyber.kepco.co.kr/ckepco/front/jsp/CY/H/C/CYHCHP00802.jsp" TargetMode="External"/><Relationship Id="rId134" Type="http://schemas.openxmlformats.org/officeDocument/2006/relationships/hyperlink" Target="https://arxiv.org/abs/2301.12242" TargetMode="External"/><Relationship Id="rId537" Type="http://schemas.openxmlformats.org/officeDocument/2006/relationships/hyperlink" Target="https://publications.jrc.ec.europa.eu/repository/bitstream/JRC122565/jrc122565_ltwe_harmonisation_online_identifier_4.pdf" TargetMode="External"/><Relationship Id="rId579" Type="http://schemas.openxmlformats.org/officeDocument/2006/relationships/hyperlink" Target="https://h2fcp.org/sites/default/files/Stations-Fact-sheet3_0.pdf" TargetMode="External"/><Relationship Id="rId80" Type="http://schemas.openxmlformats.org/officeDocument/2006/relationships/hyperlink" Target="https://solar.huawei.com/au/news/2019/news-20190710/" TargetMode="External"/><Relationship Id="rId176" Type="http://schemas.openxmlformats.org/officeDocument/2006/relationships/hyperlink" Target="https://arxiv.org/html/2501.14576v3" TargetMode="External"/><Relationship Id="rId341" Type="http://schemas.openxmlformats.org/officeDocument/2006/relationships/hyperlink" Target="https://arxiv.org/abs/2201.00382" TargetMode="External"/><Relationship Id="rId383" Type="http://schemas.openxmlformats.org/officeDocument/2006/relationships/hyperlink" Target="https://arxiv.org/abs/2411.07763" TargetMode="External"/><Relationship Id="rId439" Type="http://schemas.openxmlformats.org/officeDocument/2006/relationships/hyperlink" Target="https://www.accure.net/case-studies/50-mwh-bess-europe" TargetMode="External"/><Relationship Id="rId590" Type="http://schemas.openxmlformats.org/officeDocument/2006/relationships/hyperlink" Target="https://www.h2news.kr/news/articleView.html?idxno=12249" TargetMode="External"/><Relationship Id="rId201" Type="http://schemas.openxmlformats.org/officeDocument/2006/relationships/hyperlink" Target="https://www.h2news.kr/news/articleView.html?idxno=14258" TargetMode="External"/><Relationship Id="rId243" Type="http://schemas.openxmlformats.org/officeDocument/2006/relationships/hyperlink" Target="https://doi.org/10.1016/j.ijhydene.2020.09.218" TargetMode="External"/><Relationship Id="rId285" Type="http://schemas.openxmlformats.org/officeDocument/2006/relationships/hyperlink" Target="https://docs.nlr.gov/docs/fy19osti/73822.pdf" TargetMode="External"/><Relationship Id="rId450" Type="http://schemas.openxmlformats.org/officeDocument/2006/relationships/hyperlink" Target="https://c3.ai/c3-ai-and-bloom-energy-team-up-to-revolutionize-fuel-cell-performance-service-and-engineering-analytics/" TargetMode="External"/><Relationship Id="rId506" Type="http://schemas.openxmlformats.org/officeDocument/2006/relationships/hyperlink" Target="https://research.tudelft.nl/en/publications/utilisation-of-waste-heat-from-pem-electrolysers-unlocking-local-" TargetMode="External"/><Relationship Id="rId38" Type="http://schemas.openxmlformats.org/officeDocument/2006/relationships/hyperlink" Target="https://www.clean-hydrogen.europa.eu/system/files/2024-02/ast.pdf" TargetMode="External"/><Relationship Id="rId103" Type="http://schemas.openxmlformats.org/officeDocument/2006/relationships/hyperlink" Target="https://www.nature.com/articles/s41467-023-41226-5" TargetMode="External"/><Relationship Id="rId310" Type="http://schemas.openxmlformats.org/officeDocument/2006/relationships/hyperlink" Target="https://cpcongroup.com/insights/article/iso-14224-equipment-taxonomy/" TargetMode="External"/><Relationship Id="rId492" Type="http://schemas.openxmlformats.org/officeDocument/2006/relationships/hyperlink" Target="https://www.law.go.kr/LSW/lsInfoP.do?urlMode=lsInfoP&amp;lsId=006285" TargetMode="External"/><Relationship Id="rId548" Type="http://schemas.openxmlformats.org/officeDocument/2006/relationships/hyperlink" Target="https://atlas-scientific.com/blog/conductivity-temperature-compensation" TargetMode="External"/><Relationship Id="rId91" Type="http://schemas.openxmlformats.org/officeDocument/2006/relationships/hyperlink" Target="https://zdnet.co.kr/view/?no=20241007084436" TargetMode="External"/><Relationship Id="rId145" Type="http://schemas.openxmlformats.org/officeDocument/2006/relationships/hyperlink" Target="https://reference.opcfoundation.org/" TargetMode="External"/><Relationship Id="rId187" Type="http://schemas.openxmlformats.org/officeDocument/2006/relationships/hyperlink" Target="https://doi.org/10.1149/2.0421908jes" TargetMode="External"/><Relationship Id="rId352" Type="http://schemas.openxmlformats.org/officeDocument/2006/relationships/hyperlink" Target="https://pecos.readthedocs.io/en/latest/" TargetMode="External"/><Relationship Id="rId394" Type="http://schemas.openxmlformats.org/officeDocument/2006/relationships/hyperlink" Target="https://arxiv.org/abs/2306.05685" TargetMode="External"/><Relationship Id="rId408" Type="http://schemas.openxmlformats.org/officeDocument/2006/relationships/hyperlink" Target="https://iea-pvps.org/key-topics/quantification-of-technical-risks-in-pv-power-systems/" TargetMode="External"/><Relationship Id="rId212" Type="http://schemas.openxmlformats.org/officeDocument/2006/relationships/hyperlink" Target="https://www.osti.gov/servlets/purl/1603259" TargetMode="External"/><Relationship Id="rId254" Type="http://schemas.openxmlformats.org/officeDocument/2006/relationships/hyperlink" Target="https://www.dnews.co.kr/uhtml/view.jsp?idxno=202508180830309050942" TargetMode="External"/><Relationship Id="rId49" Type="http://schemas.openxmlformats.org/officeDocument/2006/relationships/hyperlink" Target="https://docs.nlr.gov/docs/fy18osti/68773.pdf" TargetMode="External"/><Relationship Id="rId114" Type="http://schemas.openxmlformats.org/officeDocument/2006/relationships/hyperlink" Target="https://www.nature.com/articles/s41467-025-57968-3" TargetMode="External"/><Relationship Id="rId296" Type="http://schemas.openxmlformats.org/officeDocument/2006/relationships/hyperlink" Target="https://www.cisa.gov/resources-tools/resources/primary-mitigations-reduce-cyber-threats-operational-technology" TargetMode="External"/><Relationship Id="rId461" Type="http://schemas.openxmlformats.org/officeDocument/2006/relationships/hyperlink" Target="https://www.refhyne.eu/project-progress/" TargetMode="External"/><Relationship Id="rId517" Type="http://schemas.openxmlformats.org/officeDocument/2006/relationships/hyperlink" Target="https://docs.nrel.gov/docs/fy24osti/89676.pdf" TargetMode="External"/><Relationship Id="rId559" Type="http://schemas.openxmlformats.org/officeDocument/2006/relationships/hyperlink" Target="https://h2hub.or.kr/main/info/regulation_info.do?mode=download&amp;articleNo=3039&amp;attachNo=5967" TargetMode="External"/><Relationship Id="rId60" Type="http://schemas.openxmlformats.org/officeDocument/2006/relationships/hyperlink" Target="https://iea-pvps.org/wp-content/uploads/2025/02/IEA-PVPS-T13-30-2025-EX-SUMM-Degradation-and-Failure.pdf" TargetMode="External"/><Relationship Id="rId156" Type="http://schemas.openxmlformats.org/officeDocument/2006/relationships/hyperlink" Target="https://www.energy.gov/sites/prod/files/2020/04/f74/omguide_complete_w-eo-disclaimer.pdf" TargetMode="External"/><Relationship Id="rId198" Type="http://schemas.openxmlformats.org/officeDocument/2006/relationships/hyperlink" Target="https://www.sciencedirect.com/science/article/pii/S2666546826001163" TargetMode="External"/><Relationship Id="rId321" Type="http://schemas.openxmlformats.org/officeDocument/2006/relationships/hyperlink" Target="https://cyber.kepco.co.kr/ckepco/front/jsp/CY/E/E/CYEEHP00203.jsp" TargetMode="External"/><Relationship Id="rId363" Type="http://schemas.openxmlformats.org/officeDocument/2006/relationships/hyperlink" Target="https://doi.org/10.1109/ACCESS.2025.3599360" TargetMode="External"/><Relationship Id="rId419" Type="http://schemas.openxmlformats.org/officeDocument/2006/relationships/hyperlink" Target="https://www.kospo.co.kr/bbs/kospo/95/110016/artclView.do" TargetMode="External"/><Relationship Id="rId570" Type="http://schemas.openxmlformats.org/officeDocument/2006/relationships/hyperlink" Target="https://www.sandia.gov/app/uploads/sites/158/2021/12/2103TechRef_316SS.pdf" TargetMode="External"/><Relationship Id="rId223" Type="http://schemas.openxmlformats.org/officeDocument/2006/relationships/hyperlink" Target="https://doi.org/10.1016/j.ijhydene.2014.01.158" TargetMode="External"/><Relationship Id="rId430" Type="http://schemas.openxmlformats.org/officeDocument/2006/relationships/hyperlink" Target="https://www.solaredge.com/en/products/software-tools/monitoring-platform" TargetMode="External"/><Relationship Id="rId18" Type="http://schemas.openxmlformats.org/officeDocument/2006/relationships/hyperlink" Target="https://www.bfh.ch/dam/jcr:5bfd5c32-f70f-4bf6-8d60-fdab6094e164/2022_09_WCPEC-8_3DV.1.46_-_Life_Expectancy_of_PV_inverters.pdf" TargetMode="External"/><Relationship Id="rId265" Type="http://schemas.openxmlformats.org/officeDocument/2006/relationships/hyperlink" Target="https://www.bloomenergy.com/news/bloom-energy-announces-hydrogen-solid-oxide-fuel-cell-with-60-electrical-efficiency-and-90-high-temperature-combined-heat-and-power-efficiency/" TargetMode="External"/><Relationship Id="rId472" Type="http://schemas.openxmlformats.org/officeDocument/2006/relationships/hyperlink" Target="https://www.industrynews.co.kr/news/articleView.html?idxno=38798" TargetMode="External"/><Relationship Id="rId528" Type="http://schemas.openxmlformats.org/officeDocument/2006/relationships/hyperlink" Target="https://www.skens.com/download/wirye/wirye_steam2.pdf" TargetMode="External"/><Relationship Id="rId125" Type="http://schemas.openxmlformats.org/officeDocument/2006/relationships/hyperlink" Target="https://pmc.ncbi.nlm.nih.gov/articles/PMC12006763/" TargetMode="External"/><Relationship Id="rId167" Type="http://schemas.openxmlformats.org/officeDocument/2006/relationships/hyperlink" Target="https://www.energy.gov/cmei/fuels/technical-targets-liquid-alkaline-electrolysis" TargetMode="External"/><Relationship Id="rId332" Type="http://schemas.openxmlformats.org/officeDocument/2006/relationships/hyperlink" Target="https://deepmind.google/discover/blog/deepmind-ai-reduces-google-data-centre-cooling-bill-by-40/" TargetMode="External"/><Relationship Id="rId374" Type="http://schemas.openxmlformats.org/officeDocument/2006/relationships/hyperlink" Target="https://news.mit.edu/2024/researchers-use-large-language-models-to-flag-problems-0814" TargetMode="External"/><Relationship Id="rId581" Type="http://schemas.openxmlformats.org/officeDocument/2006/relationships/hyperlink" Target="https://www.h2nbiz.or.kr/rt/sts/pce/rtAmountInfo.do" TargetMode="External"/><Relationship Id="rId71" Type="http://schemas.openxmlformats.org/officeDocument/2006/relationships/hyperlink" Target="https://atb.nrel.gov/electricity/2024/utility-scale_pv" TargetMode="External"/><Relationship Id="rId234" Type="http://schemas.openxmlformats.org/officeDocument/2006/relationships/hyperlink" Target="https://doi.org/10.1007/s10853-017-1978-5" TargetMode="External"/><Relationship Id="rId2" Type="http://schemas.openxmlformats.org/officeDocument/2006/relationships/hyperlink" Target="https://research-hub.nrel.gov/en/publications/compendium-of-photovoltaic-degradation-rates-2" TargetMode="External"/><Relationship Id="rId29" Type="http://schemas.openxmlformats.org/officeDocument/2006/relationships/hyperlink" Target="https://www.sandia.gov/files/ess/uploads/2021/ESSRF/Preger_Yuliya.pdf%20/%20https:/www.osti.gov/pages/biblio/1650174" TargetMode="External"/><Relationship Id="rId276" Type="http://schemas.openxmlformats.org/officeDocument/2006/relationships/hyperlink" Target="https://www.mdpi.com/1996-1073/13/9/2338" TargetMode="External"/><Relationship Id="rId441" Type="http://schemas.openxmlformats.org/officeDocument/2006/relationships/hyperlink" Target="https://www.accure.net/case-studies/140-mwh-bess-europe" TargetMode="External"/><Relationship Id="rId483" Type="http://schemas.openxmlformats.org/officeDocument/2006/relationships/hyperlink" Target="https://www.ajunews.com/view/20260913110346855" TargetMode="External"/><Relationship Id="rId539" Type="http://schemas.openxmlformats.org/officeDocument/2006/relationships/hyperlink" Target="https://www.g2b.go.kr/pn/pnp/pnpe/UntyAtchFile/downloadFile.do?bidPbancNo=R25BK00760746&amp;bidPbancOrd=000&amp;fileType=&amp;fileSeq=8" TargetMode="External"/><Relationship Id="rId40" Type="http://schemas.openxmlformats.org/officeDocument/2006/relationships/hyperlink" Target="https://h2hub.or.kr/main/info/regulation_info.do?mode=download&amp;articleNo=2572&amp;attachNo=4930" TargetMode="External"/><Relationship Id="rId136" Type="http://schemas.openxmlformats.org/officeDocument/2006/relationships/hyperlink" Target="https://arxiv.org/abs/2306.10951" TargetMode="External"/><Relationship Id="rId178" Type="http://schemas.openxmlformats.org/officeDocument/2006/relationships/hyperlink" Target="https://arxiv.org/abs/2301.09578" TargetMode="External"/><Relationship Id="rId301" Type="http://schemas.openxmlformats.org/officeDocument/2006/relationships/hyperlink" Target="https://atb.nlr.gov/electricity/2024/utility-scale_pv" TargetMode="External"/><Relationship Id="rId343" Type="http://schemas.openxmlformats.org/officeDocument/2006/relationships/hyperlink" Target="https://arxiv.org/abs/1705.07874" TargetMode="External"/><Relationship Id="rId550" Type="http://schemas.openxmlformats.org/officeDocument/2006/relationships/hyperlink" Target="https://www.meco.com/maintain-ultrapure-water-storage-distribution/" TargetMode="External"/><Relationship Id="rId82" Type="http://schemas.openxmlformats.org/officeDocument/2006/relationships/hyperlink" Target="https://ieeexplore.ieee.org/document/9272625/" TargetMode="External"/><Relationship Id="rId203" Type="http://schemas.openxmlformats.org/officeDocument/2006/relationships/hyperlink" Target="https://h2hub.or.kr/main/info/regulation_info.do?mode=download&amp;articleNo=3039&amp;attachNo=5967" TargetMode="External"/><Relationship Id="rId385" Type="http://schemas.openxmlformats.org/officeDocument/2006/relationships/hyperlink" Target="https://arxiv.org/abs/2305.15778" TargetMode="External"/><Relationship Id="rId592" Type="http://schemas.openxmlformats.org/officeDocument/2006/relationships/hyperlink" Target="https://news.skecoplant.com/plant-tomorrow/15746/" TargetMode="External"/><Relationship Id="rId245" Type="http://schemas.openxmlformats.org/officeDocument/2006/relationships/hyperlink" Target="https://www.iso.org/standard/75440.html" TargetMode="External"/><Relationship Id="rId287" Type="http://schemas.openxmlformats.org/officeDocument/2006/relationships/hyperlink" Target="https://solarbestpractices.com/guidelines/detail/contractual-framework" TargetMode="External"/><Relationship Id="rId410" Type="http://schemas.openxmlformats.org/officeDocument/2006/relationships/hyperlink" Target="https://econpapers.repec.org/RePEc:eee:pubeco:v:95:y:2011:i:9-10:p:1082-1095" TargetMode="External"/><Relationship Id="rId452" Type="http://schemas.openxmlformats.org/officeDocument/2006/relationships/hyperlink" Target="https://www.thyssenkrupp-nucera.com/newsroom/blog/how-thyssenkrupp-nucera-is-advancing-the-green-hydrogen-economy-through-digital-service-excellence" TargetMode="External"/><Relationship Id="rId494" Type="http://schemas.openxmlformats.org/officeDocument/2006/relationships/hyperlink" Target="https://files-scs.pstatic.net/2024/01/19/u5Kz1gEmxH/%EC%82%B0%EC%86%8C.pdf" TargetMode="External"/><Relationship Id="rId508" Type="http://schemas.openxmlformats.org/officeDocument/2006/relationships/hyperlink" Target="https://www.ballard.com/wp-content/uploads/2024/11/FCwave_20241008.pdf" TargetMode="External"/><Relationship Id="rId105" Type="http://schemas.openxmlformats.org/officeDocument/2006/relationships/hyperlink" Target="https://www.renewableenergymagazine.com/storage/accure-releases-2025-energy-storage-system-health-20250910" TargetMode="External"/><Relationship Id="rId147" Type="http://schemas.openxmlformats.org/officeDocument/2006/relationships/hyperlink" Target="https://www.modbus.org/file/secure/modbusprotocolspecification.pdf" TargetMode="External"/><Relationship Id="rId312" Type="http://schemas.openxmlformats.org/officeDocument/2006/relationships/hyperlink" Target="https://casenote.kr/&#48277;&#47161;/&#51204;&#44592;&#50504;&#51204;&#44288;&#47532;&#48277;" TargetMode="External"/><Relationship Id="rId354" Type="http://schemas.openxmlformats.org/officeDocument/2006/relationships/hyperlink" Target="https://doi.org/10.5334/jors.309" TargetMode="External"/><Relationship Id="rId51" Type="http://schemas.openxmlformats.org/officeDocument/2006/relationships/hyperlink" Target="https://ieafuelcell.com/wp-content/uploads/2024/11/2021-stationary-application-performance.pdf" TargetMode="External"/><Relationship Id="rId93" Type="http://schemas.openxmlformats.org/officeDocument/2006/relationships/hyperlink" Target="https://www.shinkim.com/kor/media/newsletter/1815" TargetMode="External"/><Relationship Id="rId189" Type="http://schemas.openxmlformats.org/officeDocument/2006/relationships/hyperlink" Target="https://doi.org/10.1149/1945-7111/ad576b" TargetMode="External"/><Relationship Id="rId396" Type="http://schemas.openxmlformats.org/officeDocument/2006/relationships/hyperlink" Target="https://modelcontextprotocol.io/specification/2025-06-18" TargetMode="External"/><Relationship Id="rId561" Type="http://schemas.openxmlformats.org/officeDocument/2006/relationships/hyperlink" Target="https://standards.iteh.ai/catalog/standards/cen/d691abb9-4f05-418d-b188-1cb480e4225c/en-334-2019" TargetMode="External"/><Relationship Id="rId214" Type="http://schemas.openxmlformats.org/officeDocument/2006/relationships/hyperlink" Target="https://hyresponder.eu/wp-content/uploads/2021/04/Lecture-2-slides.pdf" TargetMode="External"/><Relationship Id="rId256" Type="http://schemas.openxmlformats.org/officeDocument/2006/relationships/hyperlink" Target="https://www.asiae.co.kr/article/2026060915313849460" TargetMode="External"/><Relationship Id="rId298" Type="http://schemas.openxmlformats.org/officeDocument/2006/relationships/hyperlink" Target="https://en.wikipedia.org/wiki/IEC_62443" TargetMode="External"/><Relationship Id="rId421" Type="http://schemas.openxmlformats.org/officeDocument/2006/relationships/hyperlink" Target="https://www.hwawoo.com/kor/insights/newsletter/13255?currentPage=1" TargetMode="External"/><Relationship Id="rId463" Type="http://schemas.openxmlformats.org/officeDocument/2006/relationships/hyperlink" Target="https://www.electimes.com/news/articleView.html?idxno=186232" TargetMode="External"/><Relationship Id="rId519" Type="http://schemas.openxmlformats.org/officeDocument/2006/relationships/hyperlink" Target="https://www.sciencedirect.com/science/article/pii/S0306261920316603" TargetMode="External"/><Relationship Id="rId116" Type="http://schemas.openxmlformats.org/officeDocument/2006/relationships/hyperlink" Target="https://www.nature.com/articles/s41598-025-99931-8" TargetMode="External"/><Relationship Id="rId158" Type="http://schemas.openxmlformats.org/officeDocument/2006/relationships/hyperlink" Target="https://doi.org/10.1016/j.ijhydene.2016.12.145" TargetMode="External"/><Relationship Id="rId323" Type="http://schemas.openxmlformats.org/officeDocument/2006/relationships/hyperlink" Target="https://www.pnnl.gov/projects/om-best-practices/maintenance-approaches" TargetMode="External"/><Relationship Id="rId530" Type="http://schemas.openxmlformats.org/officeDocument/2006/relationships/hyperlink" Target="https://puretecwater.com/resources/high-purity-water-quality-standards/" TargetMode="External"/><Relationship Id="rId20" Type="http://schemas.openxmlformats.org/officeDocument/2006/relationships/hyperlink" Target="https://www.ielogical.com/assets/M-125/ElectroAppGUIDE_CDE.pdf" TargetMode="External"/><Relationship Id="rId62" Type="http://schemas.openxmlformats.org/officeDocument/2006/relationships/hyperlink" Target="https://iea-pvps.org/wp-content/uploads/2021/04/IEA-PVPS-T13-24_2021_Qualification-of-PV-Power-Plants_report.pdf" TargetMode="External"/><Relationship Id="rId365" Type="http://schemas.openxmlformats.org/officeDocument/2006/relationships/hyperlink" Target="https://doi.org/10.1214/14-AOAS788" TargetMode="External"/><Relationship Id="rId572" Type="http://schemas.openxmlformats.org/officeDocument/2006/relationships/hyperlink" Target="https://www.electimes.com/news/articleView.html?idxno=221102" TargetMode="External"/><Relationship Id="rId225" Type="http://schemas.openxmlformats.org/officeDocument/2006/relationships/hyperlink" Target="https://doi.org/10.1007/s11244-021-01452-x" TargetMode="External"/><Relationship Id="rId267" Type="http://schemas.openxmlformats.org/officeDocument/2006/relationships/hyperlink" Target="https://www.h2news.kr/news/articleView.html?idxno=12639" TargetMode="External"/><Relationship Id="rId432" Type="http://schemas.openxmlformats.org/officeDocument/2006/relationships/hyperlink" Target="https://www.powerfactors.com/news/european-energy-partners-with-power-factors-to-boost-asset-performance" TargetMode="External"/><Relationship Id="rId474" Type="http://schemas.openxmlformats.org/officeDocument/2006/relationships/hyperlink" Target="https://www.industrynews.co.kr/news/articleView.html?idxno=42525" TargetMode="External"/><Relationship Id="rId127" Type="http://schemas.openxmlformats.org/officeDocument/2006/relationships/hyperlink" Target="https://www.aurecongroup.com/-/media/files/downloads-library/thought-leadership/aurecon-hornsdale-power-reserve-impact-study-2020.pdf" TargetMode="External"/><Relationship Id="rId31" Type="http://schemas.openxmlformats.org/officeDocument/2006/relationships/hyperlink" Target="https://www.law.go.kr/LSW/flDownload.do?gubun=&amp;flSeq=158557339&amp;bylClsCd=110201" TargetMode="External"/><Relationship Id="rId73" Type="http://schemas.openxmlformats.org/officeDocument/2006/relationships/hyperlink" Target="https://www.pveurope.eu/solar-modules/itrpv-topcon-surpass-perc-coming-years" TargetMode="External"/><Relationship Id="rId169" Type="http://schemas.openxmlformats.org/officeDocument/2006/relationships/hyperlink" Target="https://www.enagas.es/content/dam/enagas/en/files/transicion-energetica/red-hidrogeno/observatorio-tecnologico-hidrogeno/oth-report-electrolysis-dic2025-eng.pdf" TargetMode="External"/><Relationship Id="rId334" Type="http://schemas.openxmlformats.org/officeDocument/2006/relationships/hyperlink" Target="https://doi.org/10.1109/TSTE.2024.3443234" TargetMode="External"/><Relationship Id="rId376" Type="http://schemas.openxmlformats.org/officeDocument/2006/relationships/hyperlink" Target="https://arxiv.org/abs/2305.18654" TargetMode="External"/><Relationship Id="rId541" Type="http://schemas.openxmlformats.org/officeDocument/2006/relationships/hyperlink" Target="https://www.watertechonline.com/home/article/14171904/membrane-cleaning-fundamentals-cleaning-criteria-and-normalization-of-reverse-osmosis-systems" TargetMode="External"/><Relationship Id="rId583" Type="http://schemas.openxmlformats.org/officeDocument/2006/relationships/hyperlink" Target="http://www.newstof.com/news/articleView.html?idxno=1553" TargetMode="External"/><Relationship Id="rId4" Type="http://schemas.openxmlformats.org/officeDocument/2006/relationships/hyperlink" Target="https://iea-pvps.org/wp-content/uploads/2021/04/IEA-PVPS-T13-22_2021-Assessment-of-Performance-Loss-Rate-of-PV-Power-Systems-report.pdf" TargetMode="External"/><Relationship Id="rId180" Type="http://schemas.openxmlformats.org/officeDocument/2006/relationships/hyperlink" Target="https://doi.org/10.1016/j.ijhydene.2021.11.126" TargetMode="External"/><Relationship Id="rId236" Type="http://schemas.openxmlformats.org/officeDocument/2006/relationships/hyperlink" Target="https://doi.org/10.1016/j.ijhydene.2022.03.170" TargetMode="External"/><Relationship Id="rId278" Type="http://schemas.openxmlformats.org/officeDocument/2006/relationships/hyperlink" Target="https://upcommons.upc.edu/server/api/core/bitstreams/f6d57a68-e1cb-437d-91db-d205fc74234f/content" TargetMode="External"/><Relationship Id="rId401" Type="http://schemas.openxmlformats.org/officeDocument/2006/relationships/hyperlink" Target="https://arxiv.org/abs/2309.06180" TargetMode="External"/><Relationship Id="rId443" Type="http://schemas.openxmlformats.org/officeDocument/2006/relationships/hyperlink" Target="https://solarbuildermag.com/featured/twaice-informing-arbitrage-with-battery-analytics/" TargetMode="External"/><Relationship Id="rId303" Type="http://schemas.openxmlformats.org/officeDocument/2006/relationships/hyperlink" Target="https://atb.nlr.gov/electricity/2024/utility-scale_battery_storage" TargetMode="External"/><Relationship Id="rId485" Type="http://schemas.openxmlformats.org/officeDocument/2006/relationships/hyperlink" Target="http://www.diva-portal.org/smash/get/diva2:1901182/FULLTEXT01.pdf" TargetMode="External"/><Relationship Id="rId42" Type="http://schemas.openxmlformats.org/officeDocument/2006/relationships/hyperlink" Target="https://www.law.go.kr/LSW/lsInfoP.do?lsiSeq=278383&amp;chrClsCd=010202&amp;urlMode=lsInfoP&amp;efYd=20251001&amp;ancYnChk=0" TargetMode="External"/><Relationship Id="rId84" Type="http://schemas.openxmlformats.org/officeDocument/2006/relationships/hyperlink" Target="https://www.sciencedirect.com/science/article/abs/pii/S0360544220321253" TargetMode="External"/><Relationship Id="rId138" Type="http://schemas.openxmlformats.org/officeDocument/2006/relationships/hyperlink" Target="https://www.law.go.kr/admRulLsInfoP.do?admRulSeq=2100000237332" TargetMode="External"/><Relationship Id="rId345" Type="http://schemas.openxmlformats.org/officeDocument/2006/relationships/hyperlink" Target="https://doi.org/10.1016/j.jpowsour.2004.02.032" TargetMode="External"/><Relationship Id="rId387" Type="http://schemas.openxmlformats.org/officeDocument/2006/relationships/hyperlink" Target="https://arxiv.org/abs/2607.01992" TargetMode="External"/><Relationship Id="rId510" Type="http://schemas.openxmlformats.org/officeDocument/2006/relationships/hyperlink" Target="https://www.doosanfuelcell.com/kr/prod/prod-0102/" TargetMode="External"/><Relationship Id="rId552" Type="http://schemas.openxmlformats.org/officeDocument/2006/relationships/hyperlink" Target="https://www.swagelok.com/en/blog/troubleshoot-common-regulator-problems" TargetMode="External"/><Relationship Id="rId594" Type="http://schemas.openxmlformats.org/officeDocument/2006/relationships/hyperlink" Target="https://www.law.go.kr/%ED%96%89%EC%A0%95%EA%B7%9C%EC%B9%99/%EC%88%98%EC%86%8C%EB%B0%9C%EC%A0%84%20%EC%9E%85%EC%B0%B0%EC%8B%9C%EC%9E%A5%20%EC%97%B0%EB%8F%84%EB%B3%84%20%EA%B5%AC%EB%A7%A4%EB%9F%89%20%EC%82%B0%EC%A0%95%20%EB%93%B1%EC%97%90%20%EA%B4%80%ED%95%9C%20%EA%B3%A0%EC%8B%9C" TargetMode="External"/><Relationship Id="rId191" Type="http://schemas.openxmlformats.org/officeDocument/2006/relationships/hyperlink" Target="https://doi.org/10.26599/CF.2025.9200060" TargetMode="External"/><Relationship Id="rId205" Type="http://schemas.openxmlformats.org/officeDocument/2006/relationships/hyperlink" Target="https://www.innopolis.or.kr/fileDownload?titleId=182136&amp;fileId=1&amp;fileDownType=C&#182;mMenuId=MENU00318" TargetMode="External"/><Relationship Id="rId247" Type="http://schemas.openxmlformats.org/officeDocument/2006/relationships/hyperlink" Target="https://www.energy.gov/eere/fuelcells/types-fuel-cells" TargetMode="External"/><Relationship Id="rId412" Type="http://schemas.openxmlformats.org/officeDocument/2006/relationships/hyperlink" Target="https://seqent.com/blog/alarm-rationalization-explained/" TargetMode="External"/><Relationship Id="rId107" Type="http://schemas.openxmlformats.org/officeDocument/2006/relationships/hyperlink" Target="https://www.twaice.com/customer-stories/interenergy-bess-performance-issues-warranties-and-capacity" TargetMode="External"/><Relationship Id="rId289" Type="http://schemas.openxmlformats.org/officeDocument/2006/relationships/hyperlink" Target="https://solarbestpractices.com/guidelines/detail/power-plant-operation" TargetMode="External"/><Relationship Id="rId454" Type="http://schemas.openxmlformats.org/officeDocument/2006/relationships/hyperlink" Target="https://cordis.europa.eu/project/id/779469/reporting" TargetMode="External"/><Relationship Id="rId496" Type="http://schemas.openxmlformats.org/officeDocument/2006/relationships/hyperlink" Target="https://info-support.sungrowpower.com/application/pdf/2025/02/28/DS_20250226_PEM%20Electrolyzer_Datasheet_EN.pdf" TargetMode="External"/><Relationship Id="rId11" Type="http://schemas.openxmlformats.org/officeDocument/2006/relationships/hyperlink" Target="https://solarbestpractices.com/guidelines/detail/technical-asset-management-2" TargetMode="External"/><Relationship Id="rId53" Type="http://schemas.openxmlformats.org/officeDocument/2006/relationships/hyperlink" Target="https://www.mdpi.com/1996-1073/16/12/4772%20/%20https:/www.sciencedirect.com/science/article/abs/pii/S036031990800476X" TargetMode="External"/><Relationship Id="rId149" Type="http://schemas.openxmlformats.org/officeDocument/2006/relationships/hyperlink" Target="https://github.com/sunspec/models" TargetMode="External"/><Relationship Id="rId314" Type="http://schemas.openxmlformats.org/officeDocument/2006/relationships/hyperlink" Target="https://casenote.kr/&#48277;&#47161;/&#48516;&#49328;&#50640;&#45320;&#51648;_&#54876;&#49457;&#54868;_&#53945;&#48324;&#48277;" TargetMode="External"/><Relationship Id="rId356" Type="http://schemas.openxmlformats.org/officeDocument/2006/relationships/hyperlink" Target="https://arxiv.org/abs/2403.07815" TargetMode="External"/><Relationship Id="rId398" Type="http://schemas.openxmlformats.org/officeDocument/2006/relationships/hyperlink" Target="https://nvlpubs.nist.gov/nistpubs/ai/NIST.AI.600-1.pdf" TargetMode="External"/><Relationship Id="rId521" Type="http://schemas.openxmlformats.org/officeDocument/2006/relationships/hyperlink" Target="https://industrialmonitordirect.com/blogs/knowledgebase/plate-heat-exchanger-pressure-drop-formula-and-flow-calculation" TargetMode="External"/><Relationship Id="rId563" Type="http://schemas.openxmlformats.org/officeDocument/2006/relationships/hyperlink" Target="https://www.wermac.org/valves/valve_leakage.html" TargetMode="External"/><Relationship Id="rId95" Type="http://schemas.openxmlformats.org/officeDocument/2006/relationships/hyperlink" Target="https://storagewiki.epri.com/index.php/BESS_Failure_Incident_Database" TargetMode="External"/><Relationship Id="rId160" Type="http://schemas.openxmlformats.org/officeDocument/2006/relationships/hyperlink" Target="https://www.korea.kr/news/policyNewsView.do?newsId=156374464" TargetMode="External"/><Relationship Id="rId216" Type="http://schemas.openxmlformats.org/officeDocument/2006/relationships/hyperlink" Target="https://www.recip.org/wp-content/uploads/2025/05/EFRC-Report-Review-API-618-6th-edition-API-688-2nd-edition-Part-1-V1.pdf" TargetMode="External"/><Relationship Id="rId423" Type="http://schemas.openxmlformats.org/officeDocument/2006/relationships/hyperlink" Target="https://www.industrynews.co.kr/news/articleView.html?idxno=42521" TargetMode="External"/><Relationship Id="rId258" Type="http://schemas.openxmlformats.org/officeDocument/2006/relationships/hyperlink" Target="https://www.gasnews.com/news/articleView.html?idxno=121174" TargetMode="External"/><Relationship Id="rId465" Type="http://schemas.openxmlformats.org/officeDocument/2006/relationships/hyperlink" Target="https://www.solartodaymag.com/news/articleView.html?idxno=20404" TargetMode="External"/><Relationship Id="rId22" Type="http://schemas.openxmlformats.org/officeDocument/2006/relationships/hyperlink" Target="https://koreascience.kr/article/JAKO201514751644626.pdf" TargetMode="External"/><Relationship Id="rId64" Type="http://schemas.openxmlformats.org/officeDocument/2006/relationships/hyperlink" Target="https://www.pveducation.org/pvcdrom/solar-cell-operation/effect-of-temperature" TargetMode="External"/><Relationship Id="rId118" Type="http://schemas.openxmlformats.org/officeDocument/2006/relationships/hyperlink" Target="https://www.analog.com/en/resources/analog-dialogue/articles/simplicity-wins-part-1.html" TargetMode="External"/><Relationship Id="rId325" Type="http://schemas.openxmlformats.org/officeDocument/2006/relationships/hyperlink" Target="https://www.mckinsey.com/capabilities/operations/our-insights/manufacturing-analytics-unleashes-productivity-and-profitability" TargetMode="External"/><Relationship Id="rId367" Type="http://schemas.openxmlformats.org/officeDocument/2006/relationships/hyperlink" Target="https://www.mimosa.org/mimosa-osa-cbm/" TargetMode="External"/><Relationship Id="rId532" Type="http://schemas.openxmlformats.org/officeDocument/2006/relationships/hyperlink" Target="https://nelhydrogen.com/faq/" TargetMode="External"/><Relationship Id="rId574" Type="http://schemas.openxmlformats.org/officeDocument/2006/relationships/hyperlink" Target="https://www.energy-news.co.kr/news/articleView.html?idxno=212859" TargetMode="External"/><Relationship Id="rId171" Type="http://schemas.openxmlformats.org/officeDocument/2006/relationships/hyperlink" Target="https://www.iso.org/standard/69212.html" TargetMode="External"/><Relationship Id="rId227" Type="http://schemas.openxmlformats.org/officeDocument/2006/relationships/hyperlink" Target="https://www.energy.gov/eere/fuelcells/liquid-hydrogen-delivery" TargetMode="External"/><Relationship Id="rId269" Type="http://schemas.openxmlformats.org/officeDocument/2006/relationships/hyperlink" Target="https://www.kyeongin.com/article/1533573" TargetMode="External"/><Relationship Id="rId434" Type="http://schemas.openxmlformats.org/officeDocument/2006/relationships/hyperlink" Target="https://energy.canarymedia.com/raptor-maps-global-solar-report" TargetMode="External"/><Relationship Id="rId476" Type="http://schemas.openxmlformats.org/officeDocument/2006/relationships/hyperlink" Target="https://app.rndcircle.io/gov-grant/5f1bfc5f-45c2-485f-b78e-e2a19ca5b61e" TargetMode="External"/><Relationship Id="rId33" Type="http://schemas.openxmlformats.org/officeDocument/2006/relationships/hyperlink" Target="https://www.irena.org/-/media/Files/IRENA/Agency/Publication/2020/Dec/IRENA_Green_hydrogen_cost_2020.pdf" TargetMode="External"/><Relationship Id="rId129" Type="http://schemas.openxmlformats.org/officeDocument/2006/relationships/hyperlink" Target="https://www.osti.gov/pages/biblio/1650174" TargetMode="External"/><Relationship Id="rId280" Type="http://schemas.openxmlformats.org/officeDocument/2006/relationships/hyperlink" Target="https://www.sciencedirect.com/science/article/pii/S2666386422003460" TargetMode="External"/><Relationship Id="rId336" Type="http://schemas.openxmlformats.org/officeDocument/2006/relationships/hyperlink" Target="https://arxiv.org/abs/2204.01637" TargetMode="External"/><Relationship Id="rId501" Type="http://schemas.openxmlformats.org/officeDocument/2006/relationships/hyperlink" Target="https://www.processsensing.com/en-us/products/paramagnetic-oxygen-analyzer-XPM601.htm" TargetMode="External"/><Relationship Id="rId543" Type="http://schemas.openxmlformats.org/officeDocument/2006/relationships/hyperlink" Target="https://documents.thermofisher.com/TFS-Assets/LSG/Application-Notes/AN-PUREWATER-E%20RevA-HIGHRES.pdf" TargetMode="External"/><Relationship Id="rId75" Type="http://schemas.openxmlformats.org/officeDocument/2006/relationships/hyperlink" Target="https://pmc.ncbi.nlm.nih.gov/articles/PMC9772305/" TargetMode="External"/><Relationship Id="rId140" Type="http://schemas.openxmlformats.org/officeDocument/2006/relationships/hyperlink" Target="https://www.shinkim.com/kor/media/newsletter/2375" TargetMode="External"/><Relationship Id="rId182" Type="http://schemas.openxmlformats.org/officeDocument/2006/relationships/hyperlink" Target="https://doi.org/10.1016/j.egyai.2024.100420" TargetMode="External"/><Relationship Id="rId378" Type="http://schemas.openxmlformats.org/officeDocument/2006/relationships/hyperlink" Target="https://arxiv.org/abs/2405.20362" TargetMode="External"/><Relationship Id="rId403" Type="http://schemas.openxmlformats.org/officeDocument/2006/relationships/hyperlink" Target="https://mitsloan.mit.edu/sites/default/files/2023-10/SSRN-id4573321.pdf" TargetMode="External"/><Relationship Id="rId585" Type="http://schemas.openxmlformats.org/officeDocument/2006/relationships/hyperlink" Target="https://www.kats.go.kr/content.do?cmsid=73" TargetMode="External"/><Relationship Id="rId6" Type="http://schemas.openxmlformats.org/officeDocument/2006/relationships/hyperlink" Target="https://iea-pvps.org/wp-content/uploads/2023/01/Korean-Translation-Report-IEA-PVPS-T13-21_2022-Soiling-Losses.pdf" TargetMode="External"/><Relationship Id="rId238" Type="http://schemas.openxmlformats.org/officeDocument/2006/relationships/hyperlink" Target="https://doi.org/10.1016/j.ijhydene.2025.151309" TargetMode="External"/><Relationship Id="rId445" Type="http://schemas.openxmlformats.org/officeDocument/2006/relationships/hyperlink" Target="https://fluenceenergy.com/nispera/" TargetMode="External"/><Relationship Id="rId487" Type="http://schemas.openxmlformats.org/officeDocument/2006/relationships/hyperlink" Target="https://www.irena.org/Innovation-landscape-for-smart-electrification/Power-to-hydrogen/30-Sale-of-electrolysis-by-products-oxygen-and-heat" TargetMode="External"/><Relationship Id="rId291" Type="http://schemas.openxmlformats.org/officeDocument/2006/relationships/hyperlink" Target="https://developer.sma.de/api-access-control" TargetMode="External"/><Relationship Id="rId305" Type="http://schemas.openxmlformats.org/officeDocument/2006/relationships/hyperlink" Target="https://iea-pvps.org/wp-content/uploads/2021/04/IEA-PVPS-T13-22_2021-Assessment-of-Performance-Loss-Rate-of-PV-Power-Systems-report.pdf" TargetMode="External"/><Relationship Id="rId347" Type="http://schemas.openxmlformats.org/officeDocument/2006/relationships/hyperlink" Target="https://doi.org/10.1016/j.jpowsour.2017.05.004" TargetMode="External"/><Relationship Id="rId512" Type="http://schemas.openxmlformats.org/officeDocument/2006/relationships/hyperlink" Target="https://www.zpmeter.com/blog/which-heat-meters-meet-centralized-heating-acceptance-standards" TargetMode="External"/><Relationship Id="rId44" Type="http://schemas.openxmlformats.org/officeDocument/2006/relationships/hyperlink" Target="https://www.law.go.kr/LSW/flDownload.do?gubun=&amp;flSeq=164930307&amp;bylClsCd=110201" TargetMode="External"/><Relationship Id="rId86" Type="http://schemas.openxmlformats.org/officeDocument/2006/relationships/hyperlink" Target="https://blog.haezoom.com/insight_vpp_19/" TargetMode="External"/><Relationship Id="rId151" Type="http://schemas.openxmlformats.org/officeDocument/2006/relationships/hyperlink" Target="https://www.ntp.org/ntpfaq/ntp-s-algo/" TargetMode="External"/><Relationship Id="rId389" Type="http://schemas.openxmlformats.org/officeDocument/2006/relationships/hyperlink" Target="https://arxiv.org/abs/2005.11401" TargetMode="External"/><Relationship Id="rId554" Type="http://schemas.openxmlformats.org/officeDocument/2006/relationships/hyperlink" Target="https://www.emersonautomationexperts.com/2018/valves-actuators-regulators/stabilizing-pressure-regulator-performance/" TargetMode="External"/><Relationship Id="rId596" Type="http://schemas.openxmlformats.org/officeDocument/2006/relationships/hyperlink" Target="https://www.gov.kr/mw/AA020InfoCappView.do?HighCtgCD=A09006&amp;CappBizCD=14110000061" TargetMode="External"/><Relationship Id="rId193" Type="http://schemas.openxmlformats.org/officeDocument/2006/relationships/hyperlink" Target="https://h2-tech.com/articles/2023/july-2023/process-project-optimization/h-sub-2-sub-purification-take-on-new-challenges-by-leveraging-existing-solutions/" TargetMode="External"/><Relationship Id="rId207" Type="http://schemas.openxmlformats.org/officeDocument/2006/relationships/hyperlink" Target="https://www.energy-news.co.kr/news/articleView.html?idxno=73987" TargetMode="External"/><Relationship Id="rId249" Type="http://schemas.openxmlformats.org/officeDocument/2006/relationships/hyperlink" Target="https://www.energy.gov/eere/fuelcells/doe-technical-targets-polymer-electrolyte-membrane-fuel-cell-components" TargetMode="External"/><Relationship Id="rId414" Type="http://schemas.openxmlformats.org/officeDocument/2006/relationships/hyperlink" Target="https://www.aitimes.kr/news/articleView.html?idxno=33191" TargetMode="External"/><Relationship Id="rId456" Type="http://schemas.openxmlformats.org/officeDocument/2006/relationships/hyperlink" Target="https://www.sintef.no/en/projects/2018/haeolus/" TargetMode="External"/><Relationship Id="rId498" Type="http://schemas.openxmlformats.org/officeDocument/2006/relationships/hyperlink" Target="https://www.peacesoftware.de/einigewerte/o2_e.html" TargetMode="External"/><Relationship Id="rId13" Type="http://schemas.openxmlformats.org/officeDocument/2006/relationships/hyperlink" Target="https://www.hukx.com/uploads/iec-61724-1-2021-version-what-is-new.pdf" TargetMode="External"/><Relationship Id="rId109" Type="http://schemas.openxmlformats.org/officeDocument/2006/relationships/hyperlink" Target="https://pubs.rsc.org/en/content/articlehtml/2014/ra/c3ra45748f" TargetMode="External"/><Relationship Id="rId260" Type="http://schemas.openxmlformats.org/officeDocument/2006/relationships/hyperlink" Target="https://www.kpx.or.kr/boardDownload.es?bid=0042&amp;list_no=69381&amp;seq=2" TargetMode="External"/><Relationship Id="rId316" Type="http://schemas.openxmlformats.org/officeDocument/2006/relationships/hyperlink" Target="https://casenote.kr/&#48277;&#47161;/&#49688;&#49548;&#44221;&#51228;_&#50977;&#49457;_&#48143;_&#49688;&#49548;_&#50504;&#51204;&#44288;&#47532;&#50640;_&#44288;&#54620;_&#48277;&#47456;" TargetMode="External"/><Relationship Id="rId523" Type="http://schemas.openxmlformats.org/officeDocument/2006/relationships/hyperlink" Target="https://www.silcotek.com/blog/preventing-metal-ion-leaching-in-di-water" TargetMode="External"/><Relationship Id="rId55" Type="http://schemas.openxmlformats.org/officeDocument/2006/relationships/hyperlink" Target="https://www.sciencedirect.com/science/article/abs/pii/S030626191830607X%20/%20https:/www.sciencedirect.com/science/article/abs/pii/S0378775308021587" TargetMode="External"/><Relationship Id="rId97" Type="http://schemas.openxmlformats.org/officeDocument/2006/relationships/hyperlink" Target="https://www.pnnl.gov/sites/default/files/media/file/ESGC%20Cost%20Performance%20Report%202022%20PNNL-33283.pdf" TargetMode="External"/><Relationship Id="rId120" Type="http://schemas.openxmlformats.org/officeDocument/2006/relationships/hyperlink" Target="https://www.sciencedirect.com/science/article/abs/pii/S1359431121009352" TargetMode="External"/><Relationship Id="rId358" Type="http://schemas.openxmlformats.org/officeDocument/2006/relationships/hyperlink" Target="https://doi.org/10.1016/j.rser.2019.03.049" TargetMode="External"/><Relationship Id="rId565" Type="http://schemas.openxmlformats.org/officeDocument/2006/relationships/hyperlink" Target="https://www.osti.gov/servlets/purl/1603259" TargetMode="External"/><Relationship Id="rId162" Type="http://schemas.openxmlformats.org/officeDocument/2006/relationships/hyperlink" Target="https://www.cisa.gov/resources-tools/resources/principles-secure-integration-artificial-intelligence-operational-technology" TargetMode="External"/><Relationship Id="rId218" Type="http://schemas.openxmlformats.org/officeDocument/2006/relationships/hyperlink" Target="https://doi.org/10.1016/j.ijhydene.2019.07.147" TargetMode="External"/><Relationship Id="rId425" Type="http://schemas.openxmlformats.org/officeDocument/2006/relationships/hyperlink" Target="https://www.esnews.kr/news/articleView.html?idxno=5332" TargetMode="External"/><Relationship Id="rId467" Type="http://schemas.openxmlformats.org/officeDocument/2006/relationships/hyperlink" Target="https://www.inenews.kr/news/articleView.html?idxno=15736" TargetMode="External"/><Relationship Id="rId271" Type="http://schemas.openxmlformats.org/officeDocument/2006/relationships/hyperlink" Target="https://cordis.europa.eu/project/id/735918/reporting" TargetMode="External"/><Relationship Id="rId24" Type="http://schemas.openxmlformats.org/officeDocument/2006/relationships/hyperlink" Target="https://webstore.iec.ch/en/publication/27382" TargetMode="External"/><Relationship Id="rId66" Type="http://schemas.openxmlformats.org/officeDocument/2006/relationships/hyperlink" Target="https://docs.nrel.gov/docs/fy22osti/77782.pdf" TargetMode="External"/><Relationship Id="rId131" Type="http://schemas.openxmlformats.org/officeDocument/2006/relationships/hyperlink" Target="https://www.irena.org/-/media/Files/IRENA/Agency/Publication/2020/Dec/IRENA_Green_hydrogen_cost_2020.pdf" TargetMode="External"/><Relationship Id="rId327" Type="http://schemas.openxmlformats.org/officeDocument/2006/relationships/hyperlink" Target="https://www.nrel.gov/docs/fy19osti/73822.pdf" TargetMode="External"/><Relationship Id="rId369" Type="http://schemas.openxmlformats.org/officeDocument/2006/relationships/hyperlink" Target="https://www.data.go.kr/data/15108268/fileData.do" TargetMode="External"/><Relationship Id="rId534" Type="http://schemas.openxmlformats.org/officeDocument/2006/relationships/hyperlink" Target="https://www.energy.gov/documents/record-25003-water-use-hydrogen-production" TargetMode="External"/><Relationship Id="rId576" Type="http://schemas.openxmlformats.org/officeDocument/2006/relationships/hyperlink" Target="https://www.rein-hytec.com/market-trends/what-is-a-hydrogen-tube-trailer" TargetMode="External"/><Relationship Id="rId173" Type="http://schemas.openxmlformats.org/officeDocument/2006/relationships/hyperlink" Target="https://www.global.toshiba/ww/news/energy/2023/04/news-20230427-01.html" TargetMode="External"/><Relationship Id="rId229" Type="http://schemas.openxmlformats.org/officeDocument/2006/relationships/hyperlink" Target="https://www.sciencedirect.com/science/article/abs/pii/S2352152X2400001X" TargetMode="External"/><Relationship Id="rId380" Type="http://schemas.openxmlformats.org/officeDocument/2006/relationships/hyperlink" Target="https://arxiv.org/abs/2509.04664" TargetMode="External"/><Relationship Id="rId436" Type="http://schemas.openxmlformats.org/officeDocument/2006/relationships/hyperlink" Target="https://www.zeitview.com/solar" TargetMode="External"/><Relationship Id="rId601" Type="http://schemas.openxmlformats.org/officeDocument/2006/relationships/hyperlink" Target="https://epsis.kpx.or.kr/epsisnew/selectEkmaSmpSmpChart.do?menuId=040201" TargetMode="External"/><Relationship Id="rId240" Type="http://schemas.openxmlformats.org/officeDocument/2006/relationships/hyperlink" Target="https://doi.org/10.1109/iceccme52200.2021.9590853" TargetMode="External"/><Relationship Id="rId478" Type="http://schemas.openxmlformats.org/officeDocument/2006/relationships/hyperlink" Target="https://v.daum.net/v/4tUksBsAyB" TargetMode="External"/><Relationship Id="rId35" Type="http://schemas.openxmlformats.org/officeDocument/2006/relationships/hyperlink" Target="https://www.clean-hydrogen.europa.eu/knowledge-management/strategy-map-and-key-performance-indicators/clean-hydrogen-ju-sria-key-performance-indicators-kpis_en" TargetMode="External"/><Relationship Id="rId77" Type="http://schemas.openxmlformats.org/officeDocument/2006/relationships/hyperlink" Target="https://www.aitimes.com/news/articleView.html?idxno=214824" TargetMode="External"/><Relationship Id="rId100" Type="http://schemas.openxmlformats.org/officeDocument/2006/relationships/hyperlink" Target="https://www.nature.com/articles/s41560-019-0356-8" TargetMode="External"/><Relationship Id="rId282" Type="http://schemas.openxmlformats.org/officeDocument/2006/relationships/hyperlink" Target="http://eng.fclab.fr/ieee-phm-2014-data-challenge/" TargetMode="External"/><Relationship Id="rId338" Type="http://schemas.openxmlformats.org/officeDocument/2006/relationships/hyperlink" Target="https://arxiv.org/abs/1802.04431" TargetMode="External"/><Relationship Id="rId503" Type="http://schemas.openxmlformats.org/officeDocument/2006/relationships/hyperlink" Target="http://www.gasnews.com/news/articleView.html?idxno=73661" TargetMode="External"/><Relationship Id="rId545" Type="http://schemas.openxmlformats.org/officeDocument/2006/relationships/hyperlink" Target="https://www.watertechnologies.com/handbook/chapter-08-ion-exchange" TargetMode="External"/><Relationship Id="rId587" Type="http://schemas.openxmlformats.org/officeDocument/2006/relationships/hyperlink" Target="https://h2tools.org/fuel-cell-codes-and-standards/oiml-r-139-compressed-gaseous-fuel-measuring-systems-vehicles-oiml-r" TargetMode="External"/><Relationship Id="rId8" Type="http://schemas.openxmlformats.org/officeDocument/2006/relationships/hyperlink" Target="https://docs.nlr.gov/docs/fy19osti/73822.pdf" TargetMode="External"/><Relationship Id="rId142" Type="http://schemas.openxmlformats.org/officeDocument/2006/relationships/hyperlink" Target="https://www.h2news.kr/news/articleView.html?idxno=12249" TargetMode="External"/><Relationship Id="rId184" Type="http://schemas.openxmlformats.org/officeDocument/2006/relationships/hyperlink" Target="https://arxiv.org/abs/2508.16370" TargetMode="External"/><Relationship Id="rId391" Type="http://schemas.openxmlformats.org/officeDocument/2006/relationships/hyperlink" Target="https://www.anthropic.com/news/contextual-retrieval" TargetMode="External"/><Relationship Id="rId405" Type="http://schemas.openxmlformats.org/officeDocument/2006/relationships/hyperlink" Target="https://www.cognite.com/en/company/newsroom/aker-bp-leverages-cognite-atlas-ai-tm-to-pioneer-an-ai-first-future-in-exploration-and" TargetMode="External"/><Relationship Id="rId447" Type="http://schemas.openxmlformats.org/officeDocument/2006/relationships/hyperlink" Target="https://www.clir.eco/blog/leverage-solar-project-data" TargetMode="External"/><Relationship Id="rId251" Type="http://schemas.openxmlformats.org/officeDocument/2006/relationships/hyperlink" Target="https://ieafuelcell.com/wp-content/uploads/2024/11/2021-stationary-application-performance.pdf" TargetMode="External"/><Relationship Id="rId489" Type="http://schemas.openxmlformats.org/officeDocument/2006/relationships/hyperlink" Target="https://asiaiga.org/uploaded_docs/en_AIGA_21_20_Oxygen_Pipeline_and_Piping_Systems.pdf" TargetMode="External"/><Relationship Id="rId46" Type="http://schemas.openxmlformats.org/officeDocument/2006/relationships/hyperlink" Target="https://www.osti.gov/servlets/purl/1603259" TargetMode="External"/><Relationship Id="rId293" Type="http://schemas.openxmlformats.org/officeDocument/2006/relationships/hyperlink" Target="https://raw.githubusercontent.com/sunspec/models/master/json/model_103.json" TargetMode="External"/><Relationship Id="rId307" Type="http://schemas.openxmlformats.org/officeDocument/2006/relationships/hyperlink" Target="https://documents1.worldbank.org/curated/en/418961572293438109/pdf/Where-Sun-Meets-Water-Floating-Solar-Handbook-for-Practitioners.pdf" TargetMode="External"/><Relationship Id="rId349" Type="http://schemas.openxmlformats.org/officeDocument/2006/relationships/hyperlink" Target="https://lifelines.readthedocs.io/en/latest/" TargetMode="External"/><Relationship Id="rId514" Type="http://schemas.openxmlformats.org/officeDocument/2006/relationships/hyperlink" Target="https://www.aptn.co.kr/news/articleView.html?idxno=11977" TargetMode="External"/><Relationship Id="rId556" Type="http://schemas.openxmlformats.org/officeDocument/2006/relationships/hyperlink" Target="https://webbook.nist.gov/cgi/fluid.cgi?ID=C1333740&amp;Action=Page" TargetMode="External"/><Relationship Id="rId88" Type="http://schemas.openxmlformats.org/officeDocument/2006/relationships/hyperlink" Target="https://pvpmc.sandia.gov/tools/pv_lib-toolbox/" TargetMode="External"/><Relationship Id="rId111" Type="http://schemas.openxmlformats.org/officeDocument/2006/relationships/hyperlink" Target="https://www.sciencedirect.com/science/article/abs/pii/S0378775318305573" TargetMode="External"/><Relationship Id="rId153" Type="http://schemas.openxmlformats.org/officeDocument/2006/relationships/hyperlink" Target="https://www.industrynews.co.kr/news/articleView.html?idxno=39594" TargetMode="External"/><Relationship Id="rId195" Type="http://schemas.openxmlformats.org/officeDocument/2006/relationships/hyperlink" Target="https://h2tools.org/bestpractices/electrolyzer-safety/h2-o2-gas-cross-over-safe-practice" TargetMode="External"/><Relationship Id="rId209" Type="http://schemas.openxmlformats.org/officeDocument/2006/relationships/hyperlink" Target="https://www.khan.co.kr/article/201907041529001" TargetMode="External"/><Relationship Id="rId360" Type="http://schemas.openxmlformats.org/officeDocument/2006/relationships/hyperlink" Target="https://www.nationalacademies.org/publications/26894" TargetMode="External"/><Relationship Id="rId416" Type="http://schemas.openxmlformats.org/officeDocument/2006/relationships/hyperlink" Target="https://www.thefairnews.co.kr/news/articleView.html?idxno=39990" TargetMode="External"/><Relationship Id="rId598" Type="http://schemas.openxmlformats.org/officeDocument/2006/relationships/hyperlink" Target="https://www.osti.gov/biblio/1466121" TargetMode="External"/><Relationship Id="rId220" Type="http://schemas.openxmlformats.org/officeDocument/2006/relationships/hyperlink" Target="https://assets.linde.com/-/media/global/engineering/engineering/home/products-and-services/plant-components/powering-sustainable-mobility-for-generations-to-come/le_lhf_datasheet_ic90_60.pdf" TargetMode="External"/><Relationship Id="rId458" Type="http://schemas.openxmlformats.org/officeDocument/2006/relationships/hyperlink" Target="https://www.clean-hydrogen.europa.eu/system/files/2024-01/Clean%20Hydrogen%20JU%20AWP%202024%20-%20all%20chapters_Final_For_Publication.pdf" TargetMode="External"/><Relationship Id="rId15" Type="http://schemas.openxmlformats.org/officeDocument/2006/relationships/hyperlink" Target="https://www.jinkosolar.com/en/site/tigerneo" TargetMode="External"/><Relationship Id="rId57" Type="http://schemas.openxmlformats.org/officeDocument/2006/relationships/hyperlink" Target="https://www.osti.gov/pages/biblio/1417794" TargetMode="External"/><Relationship Id="rId262" Type="http://schemas.openxmlformats.org/officeDocument/2006/relationships/hyperlink" Target="https://www.doosanfuelcell.com/en/prod/prod-0101/" TargetMode="External"/><Relationship Id="rId318" Type="http://schemas.openxmlformats.org/officeDocument/2006/relationships/hyperlink" Target="https://casenote.kr/&#48277;&#47161;/&#44256;&#50517;&#44032;&#49828;_&#50504;&#51204;&#44288;&#47532;&#48277;_&#49884;&#54665;&#44508;&#52825;" TargetMode="External"/><Relationship Id="rId525" Type="http://schemas.openxmlformats.org/officeDocument/2006/relationships/hyperlink" Target="https://nelhydrogen.com/faq/" TargetMode="External"/><Relationship Id="rId567" Type="http://schemas.openxmlformats.org/officeDocument/2006/relationships/hyperlink" Target="https://pmc.ncbi.nlm.nih.gov/articles/PMC13074313/" TargetMode="External"/><Relationship Id="rId99" Type="http://schemas.openxmlformats.org/officeDocument/2006/relationships/hyperlink" Target="https://arxiv.org/abs/1707.04567" TargetMode="External"/><Relationship Id="rId122" Type="http://schemas.openxmlformats.org/officeDocument/2006/relationships/hyperlink" Target="https://news.samsungsdi.com/ko/articleView?seq=332" TargetMode="External"/><Relationship Id="rId164" Type="http://schemas.openxmlformats.org/officeDocument/2006/relationships/hyperlink" Target="https://h2hub.or.kr/main/info/regulation_info.do?mode=download&amp;articleNo=2572&amp;attachNo=4930" TargetMode="External"/><Relationship Id="rId371" Type="http://schemas.openxmlformats.org/officeDocument/2006/relationships/hyperlink" Target="https://epsis.kpx.or.kr/" TargetMode="External"/><Relationship Id="rId427" Type="http://schemas.openxmlformats.org/officeDocument/2006/relationships/hyperlink" Target="https://huggingface.co/skt/A.X-4.0-Light" TargetMode="External"/><Relationship Id="rId469" Type="http://schemas.openxmlformats.org/officeDocument/2006/relationships/hyperlink" Target="https://www.enetnews.co.kr/news/articleView.html?idxno=53099" TargetMode="External"/><Relationship Id="rId26" Type="http://schemas.openxmlformats.org/officeDocument/2006/relationships/hyperlink" Target="https://www.energy.gov/sites/default/files/2024-01/bess-evaluation-method.pdf" TargetMode="External"/><Relationship Id="rId231" Type="http://schemas.openxmlformats.org/officeDocument/2006/relationships/hyperlink" Target="https://onlinelibrary.wiley.com/doi/10.1002/smm2.1303" TargetMode="External"/><Relationship Id="rId273" Type="http://schemas.openxmlformats.org/officeDocument/2006/relationships/hyperlink" Target="https://pmc.ncbi.nlm.nih.gov/articles/PMC9763490/" TargetMode="External"/><Relationship Id="rId329" Type="http://schemas.openxmlformats.org/officeDocument/2006/relationships/hyperlink" Target="https://www.epri.com/research/products/000000003002030360" TargetMode="External"/><Relationship Id="rId480" Type="http://schemas.openxmlformats.org/officeDocument/2006/relationships/hyperlink" Target="https://h2news.kr/news/article.html?no=8174" TargetMode="External"/><Relationship Id="rId536" Type="http://schemas.openxmlformats.org/officeDocument/2006/relationships/hyperlink" Target="https://www.eiga.eu/uploads/documents/DOC246.pdf" TargetMode="External"/><Relationship Id="rId68" Type="http://schemas.openxmlformats.org/officeDocument/2006/relationships/hyperlink" Target="https://manuals.sma.de/SBSExx-50/en-US/13316496907.html" TargetMode="External"/><Relationship Id="rId133" Type="http://schemas.openxmlformats.org/officeDocument/2006/relationships/hyperlink" Target="https://arxiv.org/abs/2203.02991" TargetMode="External"/><Relationship Id="rId175" Type="http://schemas.openxmlformats.org/officeDocument/2006/relationships/hyperlink" Target="https://www.sciencedirect.com/science/article/abs/pii/S0360319921032432" TargetMode="External"/><Relationship Id="rId340" Type="http://schemas.openxmlformats.org/officeDocument/2006/relationships/hyperlink" Target="https://doi.org/10.1109/ICDM.2008.17" TargetMode="External"/><Relationship Id="rId578" Type="http://schemas.openxmlformats.org/officeDocument/2006/relationships/hyperlink" Target="https://www.asiaiga.org/uploaded_docs/en_AIGA_126_24_Guide_for_H2_Supply_Systems.pdf" TargetMode="External"/><Relationship Id="rId200" Type="http://schemas.openxmlformats.org/officeDocument/2006/relationships/hyperlink" Target="http://www.h2news.kr/news/articleView.html?idxno=10341" TargetMode="External"/><Relationship Id="rId382" Type="http://schemas.openxmlformats.org/officeDocument/2006/relationships/hyperlink" Target="https://eprijournal.com/benchmarking-large-language-models-for-the-electric-power-sector/" TargetMode="External"/><Relationship Id="rId438" Type="http://schemas.openxmlformats.org/officeDocument/2006/relationships/hyperlink" Target="https://www.accure.net/case-studies/gore-street-capital-turning-soc-accuracy-into-5-more-trading-revenue" TargetMode="External"/><Relationship Id="rId242" Type="http://schemas.openxmlformats.org/officeDocument/2006/relationships/hyperlink" Target="https://doi.org/10.1109/control.2012.6334674" TargetMode="External"/><Relationship Id="rId284" Type="http://schemas.openxmlformats.org/officeDocument/2006/relationships/hyperlink" Target="https://epsis.kpx.or.kr/epsisnew/selectEkpoBftChart.do?menuId=020100" TargetMode="External"/><Relationship Id="rId491" Type="http://schemas.openxmlformats.org/officeDocument/2006/relationships/hyperlink" Target="https://www.law.go.kr/LSW/flDownload.do?gubun=&amp;flSeq=116031027&amp;bylClsCd=110201" TargetMode="External"/><Relationship Id="rId505" Type="http://schemas.openxmlformats.org/officeDocument/2006/relationships/hyperlink" Target="https://www.energy.gov/cmei/fuels/technical-targets-proton-exchange-membrane-electrolysis" TargetMode="External"/><Relationship Id="rId37" Type="http://schemas.openxmlformats.org/officeDocument/2006/relationships/hyperlink" Target="https://publications.jrc.ec.europa.eu/repository/handle/JRC112082" TargetMode="External"/><Relationship Id="rId79" Type="http://schemas.openxmlformats.org/officeDocument/2006/relationships/hyperlink" Target="https://www.pv-tech.org/pv-project-power-loss-doubled-in-last-five-years-raptor-maps/" TargetMode="External"/><Relationship Id="rId102" Type="http://schemas.openxmlformats.org/officeDocument/2006/relationships/hyperlink" Target="https://doi.org/10.1038/s41467-024-48779-z" TargetMode="External"/><Relationship Id="rId144" Type="http://schemas.openxmlformats.org/officeDocument/2006/relationships/hyperlink" Target="https://home.treasury.gov/news/press-releases/jy2768" TargetMode="External"/><Relationship Id="rId547" Type="http://schemas.openxmlformats.org/officeDocument/2006/relationships/hyperlink" Target="https://www.eurowater.com/en/water-treatment-plants/electrodeionization" TargetMode="External"/><Relationship Id="rId589" Type="http://schemas.openxmlformats.org/officeDocument/2006/relationships/hyperlink" Target="https://www.energydaily.co.kr/news/articleView.html?idxno=126024" TargetMode="External"/><Relationship Id="rId90" Type="http://schemas.openxmlformats.org/officeDocument/2006/relationships/hyperlink" Target="https://www.knpnews.com/news/articleView.html?idxno=20325" TargetMode="External"/><Relationship Id="rId186" Type="http://schemas.openxmlformats.org/officeDocument/2006/relationships/hyperlink" Target="https://arxiv.org/abs/2404.15609" TargetMode="External"/><Relationship Id="rId351" Type="http://schemas.openxmlformats.org/officeDocument/2006/relationships/hyperlink" Target="https://pvanalytics.readthedocs.io/en/stable/" TargetMode="External"/><Relationship Id="rId393" Type="http://schemas.openxmlformats.org/officeDocument/2006/relationships/hyperlink" Target="https://arxiv.org/abs/2309.15217" TargetMode="External"/><Relationship Id="rId407" Type="http://schemas.openxmlformats.org/officeDocument/2006/relationships/hyperlink" Target="https://www.nist.gov/publications/technical-language-processing-unlocking-maintenance-knowledge" TargetMode="External"/><Relationship Id="rId449" Type="http://schemas.openxmlformats.org/officeDocument/2006/relationships/hyperlink" Target="https://www.sec.gov/Archives/edgar/data/1664703/000166470322000034/be-20211231.htm" TargetMode="External"/><Relationship Id="rId211" Type="http://schemas.openxmlformats.org/officeDocument/2006/relationships/hyperlink" Target="https://www.h2-view.com/story/norway-fines-nel-nok-25m-over-2019-kjorbo-hydrogen-station-explosion/2031932.article/" TargetMode="External"/><Relationship Id="rId253" Type="http://schemas.openxmlformats.org/officeDocument/2006/relationships/hyperlink" Target="https://www.electimes.com/news/articleView.html?idxno=371126" TargetMode="External"/><Relationship Id="rId295" Type="http://schemas.openxmlformats.org/officeDocument/2006/relationships/hyperlink" Target="https://nvlpubs.nist.gov/nistpubs/SpecialPublications/NIST.SP.800-82r3.pdf" TargetMode="External"/><Relationship Id="rId309" Type="http://schemas.openxmlformats.org/officeDocument/2006/relationships/hyperlink" Target="https://pvops.readthedocs.io/en/latest/" TargetMode="External"/><Relationship Id="rId460" Type="http://schemas.openxmlformats.org/officeDocument/2006/relationships/hyperlink" Target="https://www.osti.gov/biblio/3011897" TargetMode="External"/><Relationship Id="rId516" Type="http://schemas.openxmlformats.org/officeDocument/2006/relationships/hyperlink" Target="https://www.shimadzu.com/an/sites/shimadzu.com.an/files/pim/pim_document_file/applications/application_note/25054/an_05-sca-130-612-en.pdf" TargetMode="External"/><Relationship Id="rId48" Type="http://schemas.openxmlformats.org/officeDocument/2006/relationships/hyperlink" Target="https://www.sciencedirect.com/science/article/abs/pii/S0360319915313318%20/%20https:/www.sciencedirect.com/science/article/abs/pii/S0360319923031671" TargetMode="External"/><Relationship Id="rId113" Type="http://schemas.openxmlformats.org/officeDocument/2006/relationships/hyperlink" Target="https://www.sciencedirect.com/science/article/abs/pii/S0013468613016034" TargetMode="External"/><Relationship Id="rId320" Type="http://schemas.openxmlformats.org/officeDocument/2006/relationships/hyperlink" Target="https://new.kpx.or.kr/smpInland.es?mid=a10606080100&amp;device=pc" TargetMode="External"/><Relationship Id="rId558" Type="http://schemas.openxmlformats.org/officeDocument/2006/relationships/hyperlink" Target="https://h2tools.org/sites/default/files/SAND2015-10216-HyRAM-1.0-Technical-Reference-Manual.pdf" TargetMode="External"/><Relationship Id="rId155" Type="http://schemas.openxmlformats.org/officeDocument/2006/relationships/hyperlink" Target="https://docs.nrel.gov/docs/fy24osti/88769.pdf" TargetMode="External"/><Relationship Id="rId197" Type="http://schemas.openxmlformats.org/officeDocument/2006/relationships/hyperlink" Target="https://www.thyssenkrupp-nucera.com/newsroom/blog/why-choose-thyssenkrupp-nucera-for-green-hydrogen-service-solutions" TargetMode="External"/><Relationship Id="rId362" Type="http://schemas.openxmlformats.org/officeDocument/2006/relationships/hyperlink" Target="https://doi.org/10.1016/j.solener.2020.01.055" TargetMode="External"/><Relationship Id="rId418" Type="http://schemas.openxmlformats.org/officeDocument/2006/relationships/hyperlink" Target="https://www.energydaily.co.kr/news/articleView.html?idxno=200963" TargetMode="External"/><Relationship Id="rId222" Type="http://schemas.openxmlformats.org/officeDocument/2006/relationships/hyperlink" Target="https://www.sciencedirect.com/science/article/abs/pii/S0360319922017049" TargetMode="External"/><Relationship Id="rId264" Type="http://schemas.openxmlformats.org/officeDocument/2006/relationships/hyperlink" Target="https://www.doosan.com/images/media-center/ces2024/(Data%20Sheet)%20HyAxiom%20PureCell%20Model%20460kW.pdf" TargetMode="External"/><Relationship Id="rId471" Type="http://schemas.openxmlformats.org/officeDocument/2006/relationships/hyperlink" Target="https://www.knrec.or.kr/biz/pds/news/view.do?no=19" TargetMode="External"/><Relationship Id="rId17" Type="http://schemas.openxmlformats.org/officeDocument/2006/relationships/hyperlink" Target="https://atb.nlr.gov/electricity/2024/utility-scale_battery_storage" TargetMode="External"/><Relationship Id="rId59" Type="http://schemas.openxmlformats.org/officeDocument/2006/relationships/hyperlink" Target="https://iea-pvps.org/wp-content/uploads/2023/01/IEA-PVPS-T13-21-2022-EXEC-SUMM-Soiling-Losses-PV-Plants.pdf" TargetMode="External"/><Relationship Id="rId124" Type="http://schemas.openxmlformats.org/officeDocument/2006/relationships/hyperlink" Target="https://www.cell.com/joule/fulltext/S2542-4351(20)30234-8" TargetMode="External"/><Relationship Id="rId527" Type="http://schemas.openxmlformats.org/officeDocument/2006/relationships/hyperlink" Target="https://www.swepgroup.com/product/brazed-plate-heat-exchanger/cleaning-in-place" TargetMode="External"/><Relationship Id="rId569" Type="http://schemas.openxmlformats.org/officeDocument/2006/relationships/hyperlink" Target="https://blog.msasafety.com/fgfd-rethinking-gas-leak-detection-with-ultrasonic-technology/" TargetMode="External"/><Relationship Id="rId70" Type="http://schemas.openxmlformats.org/officeDocument/2006/relationships/hyperlink" Target="http://www.e2news.com/news/articleView.html?idxno=323702" TargetMode="External"/><Relationship Id="rId166" Type="http://schemas.openxmlformats.org/officeDocument/2006/relationships/hyperlink" Target="https://www.energy.gov/cmei/fuels/technical-targets-proton-exchange-membrane-electrolysis" TargetMode="External"/><Relationship Id="rId331" Type="http://schemas.openxmlformats.org/officeDocument/2006/relationships/hyperlink" Target="https://deepmind.google/blog/machine-learning-can-boost-the-value-of-wind-energy/" TargetMode="External"/><Relationship Id="rId373" Type="http://schemas.openxmlformats.org/officeDocument/2006/relationships/hyperlink" Target="https://arxiv.org/abs/2405.14755" TargetMode="External"/><Relationship Id="rId429" Type="http://schemas.openxmlformats.org/officeDocument/2006/relationships/hyperlink" Target="https://solar.huawei.com/au/news-room/au/2019/news-20190710" TargetMode="External"/><Relationship Id="rId580" Type="http://schemas.openxmlformats.org/officeDocument/2006/relationships/hyperlink" Target="https://www.h2nbiz.or.kr/rt/uif/inf/infoSalePrice.do" TargetMode="External"/><Relationship Id="rId1" Type="http://schemas.openxmlformats.org/officeDocument/2006/relationships/hyperlink" Target="https://www.osti.gov/biblio/1073525" TargetMode="External"/><Relationship Id="rId233" Type="http://schemas.openxmlformats.org/officeDocument/2006/relationships/hyperlink" Target="https://us.msasafety.com/Fixed-Gas-&amp;-Flame-Detection/Flame-Detectors/FL500-H2-UV-IR-Flame-Detector-for-Hydrogen-Applications/p/000014000600011019" TargetMode="External"/><Relationship Id="rId440" Type="http://schemas.openxmlformats.org/officeDocument/2006/relationships/hyperlink" Target="https://www.accure.net/case-studies/imbalanced-racks-bring-commissioning-to-a-standstill" TargetMode="External"/><Relationship Id="rId28" Type="http://schemas.openxmlformats.org/officeDocument/2006/relationships/hyperlink" Target="https://portal.fis.tum.de/en/publications/analysis-and-modeling-of-calendar-aging-of-a-commercial-lifeposub/" TargetMode="External"/><Relationship Id="rId275" Type="http://schemas.openxmlformats.org/officeDocument/2006/relationships/hyperlink" Target="https://doi.org/10.3390/electronics13122335" TargetMode="External"/><Relationship Id="rId300" Type="http://schemas.openxmlformats.org/officeDocument/2006/relationships/hyperlink" Target="https://www.forescout.com/resources/sun-down-research-report/" TargetMode="External"/><Relationship Id="rId482" Type="http://schemas.openxmlformats.org/officeDocument/2006/relationships/hyperlink" Target="https://www.kogas.or.kr/site/koGas/bbs/View.do?cbIdx=41&amp;boardIdx=45995&amp;Key=1010202000000" TargetMode="External"/><Relationship Id="rId538" Type="http://schemas.openxmlformats.org/officeDocument/2006/relationships/hyperlink" Target="https://www.eurowater.com/Files/Files/eurowater/Country/International/Leaflets/WhitePaper-RefinementLoop-UPW-Hydrogen-EUROWATER.pdf" TargetMode="External"/><Relationship Id="rId81" Type="http://schemas.openxmlformats.org/officeDocument/2006/relationships/hyperlink" Target="https://pdfs.semanticscholar.org/7535/1afe78f698d9c94ea6f0e48183712c19a7d5.pdf" TargetMode="External"/><Relationship Id="rId135" Type="http://schemas.openxmlformats.org/officeDocument/2006/relationships/hyperlink" Target="https://arxiv.org/abs/2301.05310" TargetMode="External"/><Relationship Id="rId177" Type="http://schemas.openxmlformats.org/officeDocument/2006/relationships/hyperlink" Target="https://arxiv.org/abs/2210.00801" TargetMode="External"/><Relationship Id="rId342" Type="http://schemas.openxmlformats.org/officeDocument/2006/relationships/hyperlink" Target="https://arxiv.org/abs/2110.02642" TargetMode="External"/><Relationship Id="rId384" Type="http://schemas.openxmlformats.org/officeDocument/2006/relationships/hyperlink" Target="https://arxiv.org/abs/2506.03828" TargetMode="External"/><Relationship Id="rId591" Type="http://schemas.openxmlformats.org/officeDocument/2006/relationships/hyperlink" Target="https://forourclimate.org/ko/newsroom/518" TargetMode="External"/><Relationship Id="rId202" Type="http://schemas.openxmlformats.org/officeDocument/2006/relationships/hyperlink" Target="https://www.h2news.kr/news/articleView.html?idxno=14252" TargetMode="External"/><Relationship Id="rId244" Type="http://schemas.openxmlformats.org/officeDocument/2006/relationships/hyperlink" Target="https://doi.org/10.1007/s11814-025-00474-5" TargetMode="External"/><Relationship Id="rId39" Type="http://schemas.openxmlformats.org/officeDocument/2006/relationships/hyperlink" Target="https://www.eiga.eu/uploads/documents/DOC246.pdf" TargetMode="External"/><Relationship Id="rId286" Type="http://schemas.openxmlformats.org/officeDocument/2006/relationships/hyperlink" Target="https://solarbestpractices.com/guidelines/detail/data-and-monitoring-requirements" TargetMode="External"/><Relationship Id="rId451" Type="http://schemas.openxmlformats.org/officeDocument/2006/relationships/hyperlink" Target="https://nelhydrogen.com/support/nasoc/" TargetMode="External"/><Relationship Id="rId493" Type="http://schemas.openxmlformats.org/officeDocument/2006/relationships/hyperlink" Target="https://www.law.go.kr/%EB%B2%95%EB%A0%B9/%EC%82%B0%EC%97%85%EC%95%88%EC%A0%84%EB%B3%B4%EA%B1%B4%EA%B8%B0%EC%A4%80%EC%97%90%EA%B4%80%ED%95%9C%EA%B7%9C%EC%B9%99/%EC%A0%9C618%EC%A1%B0" TargetMode="External"/><Relationship Id="rId507" Type="http://schemas.openxmlformats.org/officeDocument/2006/relationships/hyperlink" Target="https://arxiv.org/html/2507.06796v1" TargetMode="External"/><Relationship Id="rId549" Type="http://schemas.openxmlformats.org/officeDocument/2006/relationships/hyperlink" Target="https://publications.jrc.ec.europa.eu/repository/handle/JRC133726" TargetMode="External"/><Relationship Id="rId50" Type="http://schemas.openxmlformats.org/officeDocument/2006/relationships/hyperlink" Target="https://www.energy.gov/eere/fuelcells/doe-technical-targets-fuel-cell-systems-stationary-combined-heat-and-power" TargetMode="External"/><Relationship Id="rId104" Type="http://schemas.openxmlformats.org/officeDocument/2006/relationships/hyperlink" Target="https://arxiv.org/abs/2107.13856" TargetMode="External"/><Relationship Id="rId146" Type="http://schemas.openxmlformats.org/officeDocument/2006/relationships/hyperlink" Target="https://en.industryarena.com/vdma-p2x4a/blog/opc-ua-in-hydrogen-production--21737.html" TargetMode="External"/><Relationship Id="rId188" Type="http://schemas.openxmlformats.org/officeDocument/2006/relationships/hyperlink" Target="https://pmc.ncbi.nlm.nih.gov/articles/PMC9709953/" TargetMode="External"/><Relationship Id="rId311" Type="http://schemas.openxmlformats.org/officeDocument/2006/relationships/hyperlink" Target="https://casenote.kr/&#48277;&#47161;/&#51204;&#44592;&#50504;&#51204;&#44288;&#47532;&#48277;_&#49884;&#54665;&#44508;&#52825;" TargetMode="External"/><Relationship Id="rId353" Type="http://schemas.openxmlformats.org/officeDocument/2006/relationships/hyperlink" Target="https://doi.org/10.21105/joss.00884" TargetMode="External"/><Relationship Id="rId395" Type="http://schemas.openxmlformats.org/officeDocument/2006/relationships/hyperlink" Target="https://arxiv.org/abs/2309.11495" TargetMode="External"/><Relationship Id="rId409" Type="http://schemas.openxmlformats.org/officeDocument/2006/relationships/hyperlink" Target="https://iea-pvps.org/wp-content/uploads/2021/11/Report-IEA%E2%80%93PVPS-T13-23_2021-Quantification-of-Technical-Risks-in-PV-Power-Systems_final.pdf" TargetMode="External"/><Relationship Id="rId560" Type="http://schemas.openxmlformats.org/officeDocument/2006/relationships/hyperlink" Target="https://prod-edam.honeywell.com/content/dam/honeywell-edam/pmt/hps/products/pmc/gas/regulators---safety-accessories/high-pressure-regulators-up-to-pn40-(ansi-300)/hon-402/hon-402-brochure.pdf" TargetMode="External"/><Relationship Id="rId92" Type="http://schemas.openxmlformats.org/officeDocument/2006/relationships/hyperlink" Target="https://www.inenews.kr/news/articleView.html?idxno=16372" TargetMode="External"/><Relationship Id="rId213" Type="http://schemas.openxmlformats.org/officeDocument/2006/relationships/hyperlink" Target="https://pmc.ncbi.nlm.nih.gov/articles/PMC4652867/" TargetMode="External"/><Relationship Id="rId420" Type="http://schemas.openxmlformats.org/officeDocument/2006/relationships/hyperlink" Target="https://www.shinkim.com/kor/media/newsletter/3114" TargetMode="External"/><Relationship Id="rId255" Type="http://schemas.openxmlformats.org/officeDocument/2006/relationships/hyperlink" Target="https://www.newspim.com/news/view/20260609000406" TargetMode="External"/><Relationship Id="rId297" Type="http://schemas.openxmlformats.org/officeDocument/2006/relationships/hyperlink" Target="https://www.isa.org/standards-and-publications/isa-standards/isa-iec-62443-series-of-standards" TargetMode="External"/><Relationship Id="rId462" Type="http://schemas.openxmlformats.org/officeDocument/2006/relationships/hyperlink" Target="https://www.epj.co.kr/news/articleView.html?idxno=22970" TargetMode="External"/><Relationship Id="rId518" Type="http://schemas.openxmlformats.org/officeDocument/2006/relationships/hyperlink" Target="https://doi.org/10.3390/s25164936" TargetMode="External"/><Relationship Id="rId115" Type="http://schemas.openxmlformats.org/officeDocument/2006/relationships/hyperlink" Target="https://arxiv.org/pdf/2512.19773" TargetMode="External"/><Relationship Id="rId157" Type="http://schemas.openxmlformats.org/officeDocument/2006/relationships/hyperlink" Target="https://www.nedo.go.jp/english/news/AA5en_100422.html" TargetMode="External"/><Relationship Id="rId322" Type="http://schemas.openxmlformats.org/officeDocument/2006/relationships/hyperlink" Target="https://www.clean-hydrogen.europa.eu/knowledge-management/strategy-map-and-key-performance-indicators/clean-hydrogen-ju-sria-key-performance-indicators-kpis_en" TargetMode="External"/><Relationship Id="rId364" Type="http://schemas.openxmlformats.org/officeDocument/2006/relationships/hyperlink" Target="https://arxiv.org/abs/1602.05629" TargetMode="External"/><Relationship Id="rId61" Type="http://schemas.openxmlformats.org/officeDocument/2006/relationships/hyperlink" Target="https://iea-pvps.org/wp-content/uploads/2020/01/Review_on_IR_and_EL_Imaging_for_PV_Field_Applications_by_Task_13.pdf" TargetMode="External"/><Relationship Id="rId199" Type="http://schemas.openxmlformats.org/officeDocument/2006/relationships/hyperlink" Target="https://www.electimes.com/news/articleView.html?idxno=320475" TargetMode="External"/><Relationship Id="rId571" Type="http://schemas.openxmlformats.org/officeDocument/2006/relationships/hyperlink" Target="https://www.h2news.kr/news/articleView.html?idxno=12352" TargetMode="External"/><Relationship Id="rId19" Type="http://schemas.openxmlformats.org/officeDocument/2006/relationships/hyperlink" Target="https://www.osti.gov/servlets/purl/1114630" TargetMode="External"/><Relationship Id="rId224" Type="http://schemas.openxmlformats.org/officeDocument/2006/relationships/hyperlink" Target="https://doi.org/10.1016/j.ijhydene.2019.01.104" TargetMode="External"/><Relationship Id="rId266" Type="http://schemas.openxmlformats.org/officeDocument/2006/relationships/hyperlink" Target="https://bloomenergy.m3iworks.com/wp-content/uploads/bloom-energy-server-datasheet-2023.pdf" TargetMode="External"/><Relationship Id="rId431" Type="http://schemas.openxmlformats.org/officeDocument/2006/relationships/hyperlink" Target="https://www.powerfactors.com/unity/asset-performance-management" TargetMode="External"/><Relationship Id="rId473" Type="http://schemas.openxmlformats.org/officeDocument/2006/relationships/hyperlink" Target="https://www.industrynews.co.kr/news/articleView.html?idxno=44127" TargetMode="External"/><Relationship Id="rId529" Type="http://schemas.openxmlformats.org/officeDocument/2006/relationships/hyperlink" Target="https://www.astm.org/Standards/D1193.htm" TargetMode="External"/><Relationship Id="rId30" Type="http://schemas.openxmlformats.org/officeDocument/2006/relationships/hyperlink" Target="https://www.korea.kr/news/policyNewsView.do?newsId=156374464" TargetMode="External"/><Relationship Id="rId126" Type="http://schemas.openxmlformats.org/officeDocument/2006/relationships/hyperlink" Target="https://www.ul.com/services/ul-9540a-test-method" TargetMode="External"/><Relationship Id="rId168" Type="http://schemas.openxmlformats.org/officeDocument/2006/relationships/hyperlink" Target="https://iea.blob.core.windows.net/assets/12d92ecc-e960-40f3-aff5-b2de6690ab6b/GlobalHydrogenReview2025.pdf" TargetMode="External"/><Relationship Id="rId333" Type="http://schemas.openxmlformats.org/officeDocument/2006/relationships/hyperlink" Target="https://arxiv.org/abs/1910.09808" TargetMode="External"/><Relationship Id="rId540" Type="http://schemas.openxmlformats.org/officeDocument/2006/relationships/hyperlink" Target="https://h2hub.or.kr/main/info/regulation_info.do?mode=download&amp;articleNo=2572&amp;attachNo=4930" TargetMode="External"/><Relationship Id="rId72" Type="http://schemas.openxmlformats.org/officeDocument/2006/relationships/hyperlink" Target="https://www.jinkosolar.com/en/site/tigerneo_3" TargetMode="External"/><Relationship Id="rId375" Type="http://schemas.openxmlformats.org/officeDocument/2006/relationships/hyperlink" Target="https://machinelearning.apple.com/research/gsm-symbolic" TargetMode="External"/><Relationship Id="rId582" Type="http://schemas.openxmlformats.org/officeDocument/2006/relationships/hyperlink" Target="https://www.kogas.or.kr/site/koGas/bbs/View.do?cbIdx=41&amp;Key=1010202000000&amp;boardIdx=44570" TargetMode="External"/><Relationship Id="rId3" Type="http://schemas.openxmlformats.org/officeDocument/2006/relationships/hyperlink" Target="https://docs.nlr.gov/docs/fy24osti/88769.pdf" TargetMode="External"/><Relationship Id="rId235" Type="http://schemas.openxmlformats.org/officeDocument/2006/relationships/hyperlink" Target="https://doi.org/10.1021/acs.chemrev.3c00624" TargetMode="External"/><Relationship Id="rId277" Type="http://schemas.openxmlformats.org/officeDocument/2006/relationships/hyperlink" Target="https://www.sciencedirect.com/science/article/abs/pii/S036031990800476X" TargetMode="External"/><Relationship Id="rId400" Type="http://schemas.openxmlformats.org/officeDocument/2006/relationships/hyperlink" Target="https://aws.amazon.com/bedrock/security-compliance/" TargetMode="External"/><Relationship Id="rId442" Type="http://schemas.openxmlformats.org/officeDocument/2006/relationships/hyperlink" Target="https://www.twaice.com/article/digital-commissioning-case-study-verbund" TargetMode="External"/><Relationship Id="rId484" Type="http://schemas.openxmlformats.org/officeDocument/2006/relationships/hyperlink" Target="http://www.shinkim.com/newsletter/2023/GA/2023_vol185/links/2023_vol185_102.pdf" TargetMode="External"/><Relationship Id="rId137" Type="http://schemas.openxmlformats.org/officeDocument/2006/relationships/hyperlink" Target="https://arxiv.org/abs/2503.17092" TargetMode="External"/><Relationship Id="rId302" Type="http://schemas.openxmlformats.org/officeDocument/2006/relationships/hyperlink" Target="https://atb.nlr.gov/electricity/2024/commercial_pv" TargetMode="External"/><Relationship Id="rId344" Type="http://schemas.openxmlformats.org/officeDocument/2006/relationships/hyperlink" Target="https://doi.org/10.1109/TIM.2008.2005965" TargetMode="External"/><Relationship Id="rId41" Type="http://schemas.openxmlformats.org/officeDocument/2006/relationships/hyperlink" Target="https://h2hub.or.kr/main/info/regulation_info.do?mode=download&amp;articleNo=3039&amp;attachNo=5967" TargetMode="External"/><Relationship Id="rId83" Type="http://schemas.openxmlformats.org/officeDocument/2006/relationships/hyperlink" Target="https://github.com/sandialabs/pvOps" TargetMode="External"/><Relationship Id="rId179" Type="http://schemas.openxmlformats.org/officeDocument/2006/relationships/hyperlink" Target="https://ui.adsabs.harvard.edu/abs/2021JPS...49129443K/abstract" TargetMode="External"/><Relationship Id="rId386" Type="http://schemas.openxmlformats.org/officeDocument/2006/relationships/hyperlink" Target="https://arxiv.org/abs/2301.03797" TargetMode="External"/><Relationship Id="rId551" Type="http://schemas.openxmlformats.org/officeDocument/2006/relationships/hyperlink" Target="https://bangalore.swagelok.com/en/knowledge/pressure-regulators/prevent-creep-in-regulators" TargetMode="External"/><Relationship Id="rId593" Type="http://schemas.openxmlformats.org/officeDocument/2006/relationships/hyperlink" Target="https://file.hanaw.com/download/research/FileServer/WEB/industry/industry/2026/06/09/Utilities_260610_CHPS.pdf" TargetMode="External"/><Relationship Id="rId190" Type="http://schemas.openxmlformats.org/officeDocument/2006/relationships/hyperlink" Target="https://doi.org/10.1039/d2se01517j" TargetMode="External"/><Relationship Id="rId204" Type="http://schemas.openxmlformats.org/officeDocument/2006/relationships/hyperlink" Target="https://h2hub.or.kr/main/info/regulation_info.do?mode=download&amp;articleNo=2180&amp;attachNo=4103" TargetMode="External"/><Relationship Id="rId246" Type="http://schemas.openxmlformats.org/officeDocument/2006/relationships/hyperlink" Target="https://www.energy.gov/eere/fuelcells/comparison-fuel-cell-technologies" TargetMode="External"/><Relationship Id="rId288" Type="http://schemas.openxmlformats.org/officeDocument/2006/relationships/hyperlink" Target="https://solarbestpractices.com/guidelines/detail/key-performance-indicators" TargetMode="External"/><Relationship Id="rId411" Type="http://schemas.openxmlformats.org/officeDocument/2006/relationships/hyperlink" Target="https://evo-world.org/en/products-services-mainmenu-en/protocols/ipmvp" TargetMode="External"/><Relationship Id="rId453" Type="http://schemas.openxmlformats.org/officeDocument/2006/relationships/hyperlink" Target="https://www.thyssenkrupp-nucera.com/technologies/alkaline-water-electrolysis" TargetMode="External"/><Relationship Id="rId509" Type="http://schemas.openxmlformats.org/officeDocument/2006/relationships/hyperlink" Target="https://secondwatt.com/equipment/fuel-cells/ballard-power-systems-fcgen-lcs" TargetMode="External"/><Relationship Id="rId106" Type="http://schemas.openxmlformats.org/officeDocument/2006/relationships/hyperlink" Target="https://www.accure.net/blogs/battery-hysteresis-effect" TargetMode="External"/><Relationship Id="rId313" Type="http://schemas.openxmlformats.org/officeDocument/2006/relationships/hyperlink" Target="https://www.law.go.kr/LSW/flDownload.do?gubun=&amp;flSeq=158557339&amp;bylClsCd=110201" TargetMode="External"/><Relationship Id="rId495" Type="http://schemas.openxmlformats.org/officeDocument/2006/relationships/hyperlink" Target="https://www.gasnews.com/news/articleView.html?idxno=113645" TargetMode="External"/><Relationship Id="rId10" Type="http://schemas.openxmlformats.org/officeDocument/2006/relationships/hyperlink" Target="https://solarbestpractices.com/guidelines/detail/key-performance-indicators" TargetMode="External"/><Relationship Id="rId52" Type="http://schemas.openxmlformats.org/officeDocument/2006/relationships/hyperlink" Target="https://www.epa.gov/sites/default/files/2015-07/documents/catalog_of_chp_technologies_section_6._technology_characterization_-_fuel_cells.pdf" TargetMode="External"/><Relationship Id="rId94" Type="http://schemas.openxmlformats.org/officeDocument/2006/relationships/hyperlink" Target="https://www.powermag.com/wp-content/uploads/2024/05/bess-failure-report.pdf" TargetMode="External"/><Relationship Id="rId148" Type="http://schemas.openxmlformats.org/officeDocument/2006/relationships/hyperlink" Target="https://sparkplug.eclipse.org/specification/version/3.0/documents/sparkplug-specification-3.0.0.pdf" TargetMode="External"/><Relationship Id="rId355" Type="http://schemas.openxmlformats.org/officeDocument/2006/relationships/hyperlink" Target="https://doi.org/10.1109/PHM.2008.4711414" TargetMode="External"/><Relationship Id="rId397" Type="http://schemas.openxmlformats.org/officeDocument/2006/relationships/hyperlink" Target="https://genai.owasp.org/llm-top-10/" TargetMode="External"/><Relationship Id="rId520" Type="http://schemas.openxmlformats.org/officeDocument/2006/relationships/hyperlink" Target="https://industrialmonitordirect.com/blogs/knowledgebase/plate-heat-exchanger-fouling-factor-calculation-methods" TargetMode="External"/><Relationship Id="rId562" Type="http://schemas.openxmlformats.org/officeDocument/2006/relationships/hyperlink" Target="https://ipscustom.com/specs/rosemount/Pressure/3051_PDS_RevHA.pdf" TargetMode="External"/><Relationship Id="rId215" Type="http://schemas.openxmlformats.org/officeDocument/2006/relationships/hyperlink" Target="https://arxiv.org/pdf/1702.06015" TargetMode="External"/><Relationship Id="rId257" Type="http://schemas.openxmlformats.org/officeDocument/2006/relationships/hyperlink" Target="https://www.newspim.com/news/view/20260807000603" TargetMode="External"/><Relationship Id="rId422" Type="http://schemas.openxmlformats.org/officeDocument/2006/relationships/hyperlink" Target="https://www.etnews.com/20230629000228" TargetMode="External"/><Relationship Id="rId464" Type="http://schemas.openxmlformats.org/officeDocument/2006/relationships/hyperlink" Target="https://www.hankyung.com/article/2026021905431" TargetMode="External"/><Relationship Id="rId299" Type="http://schemas.openxmlformats.org/officeDocument/2006/relationships/hyperlink" Target="https://en.wikipedia.org/wiki/IEC_62351" TargetMode="External"/><Relationship Id="rId63" Type="http://schemas.openxmlformats.org/officeDocument/2006/relationships/hyperlink" Target="https://webstore.iec.ch/en/publication/28628" TargetMode="External"/><Relationship Id="rId159" Type="http://schemas.openxmlformats.org/officeDocument/2006/relationships/hyperlink" Target="https://journal.hydrogen.or.kr/xml/39686/39686.pdf" TargetMode="External"/><Relationship Id="rId366" Type="http://schemas.openxmlformats.org/officeDocument/2006/relationships/hyperlink" Target="https://arxiv.org/abs/2404.09524" TargetMode="External"/><Relationship Id="rId573" Type="http://schemas.openxmlformats.org/officeDocument/2006/relationships/hyperlink" Target="https://www.todayenergy.kr/news/articleView.html?idxno=244561" TargetMode="External"/><Relationship Id="rId226" Type="http://schemas.openxmlformats.org/officeDocument/2006/relationships/hyperlink" Target="https://www.energy.gov/eere/fuelcells/hydrogen-storage" TargetMode="External"/><Relationship Id="rId433" Type="http://schemas.openxmlformats.org/officeDocument/2006/relationships/hyperlink" Target="https://raptormaps.com/press/global-solar-report-finds-4b-annual-revenue-loss-in-solar-industry" TargetMode="External"/><Relationship Id="rId74" Type="http://schemas.openxmlformats.org/officeDocument/2006/relationships/hyperlink" Target="https://link.springer.com/article/10.1007/s42341-024-00526-3" TargetMode="External"/><Relationship Id="rId377" Type="http://schemas.openxmlformats.org/officeDocument/2006/relationships/hyperlink" Target="https://arxiv.org/abs/2211.10435" TargetMode="External"/><Relationship Id="rId500" Type="http://schemas.openxmlformats.org/officeDocument/2006/relationships/hyperlink" Target="https://www.sciencedirect.com/science/article/pii/S2666792425000484" TargetMode="External"/><Relationship Id="rId584" Type="http://schemas.openxmlformats.org/officeDocument/2006/relationships/hyperlink" Target="http://www.procon.co.kr/bbs/board.php?bo_table=magazine_new&amp;wr_id=1036" TargetMode="External"/><Relationship Id="rId5" Type="http://schemas.openxmlformats.org/officeDocument/2006/relationships/hyperlink" Target="https://rdtools.readthedocs.io/en/stable/%20/%20https:/rdtools.readthedocs.io/en/stable/generated/rdtools.soiling.soiling_srr.html" TargetMode="External"/><Relationship Id="rId237" Type="http://schemas.openxmlformats.org/officeDocument/2006/relationships/hyperlink" Target="https://doi.org/10.1016/j.compchemeng.2023.108199" TargetMode="External"/><Relationship Id="rId444" Type="http://schemas.openxmlformats.org/officeDocument/2006/relationships/hyperlink" Target="https://www.utilitydive.com/news/cells-and-modules-not-responsible-for-most-battery-energy-storage-system-fa/716732/" TargetMode="External"/><Relationship Id="rId290" Type="http://schemas.openxmlformats.org/officeDocument/2006/relationships/hyperlink" Target="https://solarbestpractices.com/guidelines/detail/o-m-for-rooftop-solar" TargetMode="External"/><Relationship Id="rId304" Type="http://schemas.openxmlformats.org/officeDocument/2006/relationships/hyperlink" Target="https://iea-pvps.org/wp-content/uploads/2022/11/IEA-PVPS-Report-T13-25-2022-OandM-Guidelines.pdf" TargetMode="External"/><Relationship Id="rId388" Type="http://schemas.openxmlformats.org/officeDocument/2006/relationships/hyperlink" Target="https://arxiv.org/abs/2509.06813" TargetMode="External"/><Relationship Id="rId511" Type="http://schemas.openxmlformats.org/officeDocument/2006/relationships/hyperlink" Target="https://www.ulex.co.kr/%EB%B2%95%EB%A5%A0/2100000009614-2048906-%EC%A0%81%EC%82%B0" TargetMode="External"/><Relationship Id="rId85" Type="http://schemas.openxmlformats.org/officeDocument/2006/relationships/hyperlink" Target="https://www.electimes.com/news/articleView.html?idxno=326670" TargetMode="External"/><Relationship Id="rId150" Type="http://schemas.openxmlformats.org/officeDocument/2006/relationships/hyperlink" Target="https://webstore.iec.ch/en/publication/34384" TargetMode="External"/><Relationship Id="rId595" Type="http://schemas.openxmlformats.org/officeDocument/2006/relationships/hyperlink" Target="https://kpx.or.kr/board.es?mid=a11201000000&amp;bid=0042&amp;list_no=75083&amp;act=view" TargetMode="External"/><Relationship Id="rId248" Type="http://schemas.openxmlformats.org/officeDocument/2006/relationships/hyperlink" Target="https://www.energy.gov/cmei/fuels/doe-technical-targets-fuel-cell-systems-and-stacks-transportation-applications" TargetMode="External"/><Relationship Id="rId455" Type="http://schemas.openxmlformats.org/officeDocument/2006/relationships/hyperlink" Target="https://www.clean-hydrogen.europa.eu/projects-dashboard/projects-repository/haeolus_en" TargetMode="External"/><Relationship Id="rId12" Type="http://schemas.openxmlformats.org/officeDocument/2006/relationships/hyperlink" Target="https://iea-pvps.org/wp-content/uploads/2022/11/IEA-PVPS-Report-T13-25-2022-OandM-Guidelines.pdf" TargetMode="External"/><Relationship Id="rId108" Type="http://schemas.openxmlformats.org/officeDocument/2006/relationships/hyperlink" Target="https://www.sciencedirect.com/science/article/pii/S2590116823000802" TargetMode="External"/><Relationship Id="rId315" Type="http://schemas.openxmlformats.org/officeDocument/2006/relationships/hyperlink" Target="https://casenote.kr/&#48277;&#47161;/&#49328;&#51648;&#44288;&#47532;&#48277;" TargetMode="External"/><Relationship Id="rId522" Type="http://schemas.openxmlformats.org/officeDocument/2006/relationships/hyperlink" Target="https://www.eng-tips.com/threads/double-wall-heat-exchanger-safeguards-code.389705/" TargetMode="External"/><Relationship Id="rId96" Type="http://schemas.openxmlformats.org/officeDocument/2006/relationships/hyperlink" Target="https://www.energy-storage.news/battery-storage-failure-incident-rate-dropped-97-between-2018-and-2023/" TargetMode="External"/><Relationship Id="rId161" Type="http://schemas.openxmlformats.org/officeDocument/2006/relationships/hyperlink" Target="https://www.hkbs.co.kr/news/articleView.html?idxno=713412" TargetMode="External"/><Relationship Id="rId399" Type="http://schemas.openxmlformats.org/officeDocument/2006/relationships/hyperlink" Target="https://learn.microsoft.com/en-us/azure/ai-foundry/responsible-ai/openai/data-privacy" TargetMode="External"/><Relationship Id="rId259" Type="http://schemas.openxmlformats.org/officeDocument/2006/relationships/hyperlink" Target="https://www.keaj.kr/news/articleView.html?idxno=5673" TargetMode="External"/><Relationship Id="rId466" Type="http://schemas.openxmlformats.org/officeDocument/2006/relationships/hyperlink" Target="https://www.koit.co.kr/news/articleView.html?idxno=116998" TargetMode="External"/><Relationship Id="rId23" Type="http://schemas.openxmlformats.org/officeDocument/2006/relationships/hyperlink" Target="http://www.kepco-webzine.co.kr/06/story02.html" TargetMode="External"/><Relationship Id="rId119" Type="http://schemas.openxmlformats.org/officeDocument/2006/relationships/hyperlink" Target="https://www.analog.com/en/resources/technical-articles/passive-battery-cell-balancing.html" TargetMode="External"/><Relationship Id="rId326" Type="http://schemas.openxmlformats.org/officeDocument/2006/relationships/hyperlink" Target="https://www.nrel.gov/docs/fy24osti/88769.pdf" TargetMode="External"/><Relationship Id="rId533" Type="http://schemas.openxmlformats.org/officeDocument/2006/relationships/hyperlink" Target="https://www.cummins.com/sites/default/files/2021-08/cummins-hylyzer-1000-specsheet.pdf" TargetMode="External"/><Relationship Id="rId172" Type="http://schemas.openxmlformats.org/officeDocument/2006/relationships/hyperlink" Target="https://iea.blob.core.windows.net/assets/imports/events/140/EnergygieparkMainzoperationalandeconomicalanalysisoftheworldwidelargestpowertogasplantwithPEMelectrolysis.pdf" TargetMode="External"/><Relationship Id="rId477" Type="http://schemas.openxmlformats.org/officeDocument/2006/relationships/hyperlink" Target="https://scienceon.kisti.re.kr/srch/selectPORSrchReport.do?cn=TRKO202400004700" TargetMode="External"/><Relationship Id="rId600" Type="http://schemas.openxmlformats.org/officeDocument/2006/relationships/hyperlink" Target="https://h2hub.or.kr/main/stat/stat_distribute_area_tube.do" TargetMode="External"/><Relationship Id="rId337" Type="http://schemas.openxmlformats.org/officeDocument/2006/relationships/hyperlink" Target="https://arxiv.org/abs/2212.11080" TargetMode="External"/><Relationship Id="rId34" Type="http://schemas.openxmlformats.org/officeDocument/2006/relationships/hyperlink" Target="https://restservice.epri.com/publicdownload/000000003002025148/0/Product" TargetMode="External"/><Relationship Id="rId544" Type="http://schemas.openxmlformats.org/officeDocument/2006/relationships/hyperlink" Target="https://journal.hydrogen.or.kr/xml/36989/36989.pdf" TargetMode="External"/><Relationship Id="rId183" Type="http://schemas.openxmlformats.org/officeDocument/2006/relationships/hyperlink" Target="https://doi.org/10.1021/acsomega.5c10432" TargetMode="External"/><Relationship Id="rId390" Type="http://schemas.openxmlformats.org/officeDocument/2006/relationships/hyperlink" Target="https://arxiv.org/abs/2210.03629" TargetMode="External"/><Relationship Id="rId404" Type="http://schemas.openxmlformats.org/officeDocument/2006/relationships/hyperlink" Target="https://press.siemens.com/global/en/pressrelease/siemens-expands-industrial-copilot-new-generative-ai-powered-maintenance-offering" TargetMode="External"/><Relationship Id="rId250" Type="http://schemas.openxmlformats.org/officeDocument/2006/relationships/hyperlink" Target="https://www.energy.gov/eere/fuelcells/doe-technical-targets-fuel-cell-systems-stationary-combined-heat-and-power" TargetMode="External"/><Relationship Id="rId488" Type="http://schemas.openxmlformats.org/officeDocument/2006/relationships/hyperlink" Target="https://www.eiga.eu/uploads/documents/DOC004.pdf" TargetMode="External"/><Relationship Id="rId45" Type="http://schemas.openxmlformats.org/officeDocument/2006/relationships/hyperlink" Target="https://www.law.go.kr/LSW/flDownload.do?gubun=&amp;flSeq=164929995&amp;bylClsCd=110201" TargetMode="External"/><Relationship Id="rId110" Type="http://schemas.openxmlformats.org/officeDocument/2006/relationships/hyperlink" Target="https://iopscience.iop.org/article/10.1149/2.0411609jes/pdf" TargetMode="External"/><Relationship Id="rId348" Type="http://schemas.openxmlformats.org/officeDocument/2006/relationships/hyperlink" Target="https://www.itl.nist.gov/div898/handbook/apr/apr.htm" TargetMode="External"/><Relationship Id="rId555" Type="http://schemas.openxmlformats.org/officeDocument/2006/relationships/hyperlink" Target="https://h2tools.org/lessons/hydrogen-gas-regulator-failure" TargetMode="External"/><Relationship Id="rId194" Type="http://schemas.openxmlformats.org/officeDocument/2006/relationships/hyperlink" Target="https://doi.org/10.1149/09101.2537ecst" TargetMode="External"/><Relationship Id="rId208" Type="http://schemas.openxmlformats.org/officeDocument/2006/relationships/hyperlink" Target="https://www.sisaweek.com/news/articleView.html?idxno=141570" TargetMode="External"/><Relationship Id="rId415" Type="http://schemas.openxmlformats.org/officeDocument/2006/relationships/hyperlink" Target="https://www.ddaily.co.kr/page/view/2024121114203783987" TargetMode="External"/><Relationship Id="rId261" Type="http://schemas.openxmlformats.org/officeDocument/2006/relationships/hyperlink" Target="https://www.shinkim.com/kor/media/newsletter/2837" TargetMode="External"/><Relationship Id="rId499" Type="http://schemas.openxmlformats.org/officeDocument/2006/relationships/hyperlink" Target="https://www.igasnet.com/news/articleView.html?idxno=512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B21"/>
  <sheetViews>
    <sheetView showGridLines="0" tabSelected="1" workbookViewId="0"/>
  </sheetViews>
  <sheetFormatPr defaultRowHeight="16.5" x14ac:dyDescent="0.3"/>
  <cols>
    <col min="1" max="1" width="22" customWidth="1"/>
    <col min="2" max="2" width="90" customWidth="1"/>
  </cols>
  <sheetData>
    <row r="1" spans="1:2" ht="30" customHeight="1" x14ac:dyDescent="0.3">
      <c r="A1" s="1" t="s">
        <v>0</v>
      </c>
    </row>
    <row r="2" spans="1:2" ht="33.950000000000003" customHeight="1" x14ac:dyDescent="0.3">
      <c r="A2" s="10" t="s">
        <v>1</v>
      </c>
      <c r="B2" s="11"/>
    </row>
    <row r="3" spans="1:2" x14ac:dyDescent="0.3">
      <c r="A3" s="2" t="s">
        <v>2</v>
      </c>
    </row>
    <row r="5" spans="1:2" ht="26.1" customHeight="1" x14ac:dyDescent="0.3">
      <c r="A5" s="3" t="s">
        <v>3</v>
      </c>
      <c r="B5" s="3" t="s">
        <v>4</v>
      </c>
    </row>
    <row r="6" spans="1:2" x14ac:dyDescent="0.3">
      <c r="A6" s="4" t="s">
        <v>5</v>
      </c>
      <c r="B6" s="4" t="s">
        <v>6</v>
      </c>
    </row>
    <row r="7" spans="1:2" x14ac:dyDescent="0.3">
      <c r="A7" s="4" t="s">
        <v>7</v>
      </c>
      <c r="B7" s="4" t="s">
        <v>8</v>
      </c>
    </row>
    <row r="8" spans="1:2" x14ac:dyDescent="0.3">
      <c r="A8" s="4" t="s">
        <v>9</v>
      </c>
      <c r="B8" s="4" t="s">
        <v>10</v>
      </c>
    </row>
    <row r="9" spans="1:2" x14ac:dyDescent="0.3">
      <c r="A9" s="4" t="s">
        <v>11</v>
      </c>
      <c r="B9" s="4" t="s">
        <v>12</v>
      </c>
    </row>
    <row r="10" spans="1:2" x14ac:dyDescent="0.3">
      <c r="A10" s="4" t="s">
        <v>13</v>
      </c>
      <c r="B10" s="4" t="s">
        <v>14</v>
      </c>
    </row>
    <row r="11" spans="1:2" x14ac:dyDescent="0.3">
      <c r="A11" s="4" t="s">
        <v>15</v>
      </c>
      <c r="B11" s="4" t="s">
        <v>16</v>
      </c>
    </row>
    <row r="12" spans="1:2" x14ac:dyDescent="0.3">
      <c r="A12" s="4" t="s">
        <v>17</v>
      </c>
      <c r="B12" s="4" t="s">
        <v>18</v>
      </c>
    </row>
    <row r="13" spans="1:2" x14ac:dyDescent="0.3">
      <c r="A13" s="4" t="s">
        <v>19</v>
      </c>
      <c r="B13" s="4" t="s">
        <v>20</v>
      </c>
    </row>
    <row r="14" spans="1:2" x14ac:dyDescent="0.3">
      <c r="A14" s="4" t="s">
        <v>21</v>
      </c>
      <c r="B14" s="4" t="s">
        <v>22</v>
      </c>
    </row>
    <row r="15" spans="1:2" x14ac:dyDescent="0.3">
      <c r="A15" s="4" t="s">
        <v>23</v>
      </c>
      <c r="B15" s="4" t="s">
        <v>24</v>
      </c>
    </row>
    <row r="16" spans="1:2" x14ac:dyDescent="0.3">
      <c r="A16" s="4" t="s">
        <v>25</v>
      </c>
      <c r="B16" s="4" t="s">
        <v>26</v>
      </c>
    </row>
    <row r="17" spans="1:2" x14ac:dyDescent="0.3">
      <c r="A17" s="4" t="s">
        <v>27</v>
      </c>
      <c r="B17" s="4" t="s">
        <v>28</v>
      </c>
    </row>
    <row r="18" spans="1:2" x14ac:dyDescent="0.3">
      <c r="A18" s="4" t="s">
        <v>29</v>
      </c>
      <c r="B18" s="4" t="s">
        <v>30</v>
      </c>
    </row>
    <row r="19" spans="1:2" x14ac:dyDescent="0.3">
      <c r="A19" s="4" t="s">
        <v>31</v>
      </c>
      <c r="B19" s="4" t="s">
        <v>32</v>
      </c>
    </row>
    <row r="20" spans="1:2" x14ac:dyDescent="0.3">
      <c r="A20" s="4" t="s">
        <v>33</v>
      </c>
      <c r="B20" s="4" t="s">
        <v>34</v>
      </c>
    </row>
    <row r="21" spans="1:2" ht="25.5" x14ac:dyDescent="0.3">
      <c r="A21" s="5" t="s">
        <v>35</v>
      </c>
      <c r="B21" s="5" t="s">
        <v>36</v>
      </c>
    </row>
  </sheetData>
  <mergeCells count="1">
    <mergeCell ref="A2:B2"/>
  </mergeCells>
  <phoneticPr fontId="8" type="noConversion"/>
  <pageMargins left="0.75" right="0.75" top="1" bottom="1" header="0.5" footer="0.5"/>
  <pageSetup fitToHeight="0"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E23"/>
  <sheetViews>
    <sheetView showGridLines="0" workbookViewId="0"/>
  </sheetViews>
  <sheetFormatPr defaultRowHeight="16.5" x14ac:dyDescent="0.3"/>
  <cols>
    <col min="1" max="1" width="18" customWidth="1"/>
    <col min="2" max="5" width="10" customWidth="1"/>
  </cols>
  <sheetData>
    <row r="1" spans="1:5" ht="30" customHeight="1" x14ac:dyDescent="0.3">
      <c r="A1" s="1" t="s">
        <v>37</v>
      </c>
    </row>
    <row r="2" spans="1:5" ht="33.950000000000003" customHeight="1" x14ac:dyDescent="0.3">
      <c r="A2" s="10" t="s">
        <v>38</v>
      </c>
      <c r="B2" s="11"/>
      <c r="C2" s="11"/>
      <c r="D2" s="11"/>
      <c r="E2" s="11"/>
    </row>
    <row r="3" spans="1:5" x14ac:dyDescent="0.3">
      <c r="A3" s="2" t="s">
        <v>2</v>
      </c>
    </row>
    <row r="5" spans="1:5" ht="26.1" customHeight="1" x14ac:dyDescent="0.3">
      <c r="A5" s="3" t="s">
        <v>39</v>
      </c>
      <c r="B5" s="3" t="s">
        <v>40</v>
      </c>
      <c r="C5" s="3" t="s">
        <v>41</v>
      </c>
      <c r="D5" s="3" t="s">
        <v>42</v>
      </c>
      <c r="E5" s="3" t="s">
        <v>43</v>
      </c>
    </row>
    <row r="6" spans="1:5" x14ac:dyDescent="0.3">
      <c r="A6" s="4" t="s">
        <v>44</v>
      </c>
      <c r="B6" s="6">
        <f>COUNTIFS(수집데이터_전력!$A:$A,"태양광",수집데이터_전력!$F:$F,"필수")</f>
        <v>12</v>
      </c>
      <c r="C6" s="6">
        <f>COUNTIFS(수집데이터_전력!$A:$A,"태양광",수집데이터_전력!$F:$F,"권장")</f>
        <v>7</v>
      </c>
      <c r="D6" s="6">
        <f>COUNTIFS(수집데이터_전력!$A:$A,"태양광",수집데이터_전력!$F:$F,"선택")</f>
        <v>3</v>
      </c>
      <c r="E6" s="6">
        <f t="shared" ref="E6:E17" si="0">SUM(B6:D6)</f>
        <v>22</v>
      </c>
    </row>
    <row r="7" spans="1:5" x14ac:dyDescent="0.3">
      <c r="A7" s="4" t="s">
        <v>45</v>
      </c>
      <c r="B7" s="6">
        <f>COUNTIFS(수집데이터_전력!$A:$A,"ESS",수집데이터_전력!$F:$F,"필수")</f>
        <v>16</v>
      </c>
      <c r="C7" s="6">
        <f>COUNTIFS(수집데이터_전력!$A:$A,"ESS",수집데이터_전력!$F:$F,"권장")</f>
        <v>11</v>
      </c>
      <c r="D7" s="6">
        <f>COUNTIFS(수집데이터_전력!$A:$A,"ESS",수집데이터_전력!$F:$F,"선택")</f>
        <v>1</v>
      </c>
      <c r="E7" s="6">
        <f t="shared" si="0"/>
        <v>28</v>
      </c>
    </row>
    <row r="8" spans="1:5" x14ac:dyDescent="0.3">
      <c r="A8" s="4" t="s">
        <v>46</v>
      </c>
      <c r="B8" s="6">
        <f>COUNTIFS(수집데이터_전력!$A:$A,"연계·계통",수집데이터_전력!$F:$F,"필수")</f>
        <v>22</v>
      </c>
      <c r="C8" s="6">
        <f>COUNTIFS(수집데이터_전력!$A:$A,"연계·계통",수집데이터_전력!$F:$F,"권장")</f>
        <v>8</v>
      </c>
      <c r="D8" s="6">
        <f>COUNTIFS(수집데이터_전력!$A:$A,"연계·계통",수집데이터_전력!$F:$F,"선택")</f>
        <v>2</v>
      </c>
      <c r="E8" s="6">
        <f t="shared" si="0"/>
        <v>32</v>
      </c>
    </row>
    <row r="9" spans="1:5" x14ac:dyDescent="0.3">
      <c r="A9" s="4" t="s">
        <v>47</v>
      </c>
      <c r="B9" s="6">
        <f>COUNTIFS(수집데이터_수소!$A:$A,"수전해(PEM)",수집데이터_수소!$F:$F,"필수")</f>
        <v>13</v>
      </c>
      <c r="C9" s="6">
        <f>COUNTIFS(수집데이터_수소!$A:$A,"수전해(PEM)",수집데이터_수소!$F:$F,"권장")</f>
        <v>8</v>
      </c>
      <c r="D9" s="6">
        <f>COUNTIFS(수집데이터_수소!$A:$A,"수전해(PEM)",수집데이터_수소!$F:$F,"선택")</f>
        <v>1</v>
      </c>
      <c r="E9" s="6">
        <f t="shared" si="0"/>
        <v>22</v>
      </c>
    </row>
    <row r="10" spans="1:5" x14ac:dyDescent="0.3">
      <c r="A10" s="4" t="s">
        <v>48</v>
      </c>
      <c r="B10" s="6">
        <f>COUNTIFS(수집데이터_수소!$A:$A,"압축·저장·안전",수집데이터_수소!$F:$F,"필수")</f>
        <v>17</v>
      </c>
      <c r="C10" s="6">
        <f>COUNTIFS(수집데이터_수소!$A:$A,"압축·저장·안전",수집데이터_수소!$F:$F,"권장")</f>
        <v>5</v>
      </c>
      <c r="D10" s="6">
        <f>COUNTIFS(수집데이터_수소!$A:$A,"압축·저장·안전",수집데이터_수소!$F:$F,"선택")</f>
        <v>2</v>
      </c>
      <c r="E10" s="6">
        <f t="shared" si="0"/>
        <v>24</v>
      </c>
    </row>
    <row r="11" spans="1:5" x14ac:dyDescent="0.3">
      <c r="A11" s="4" t="s">
        <v>49</v>
      </c>
      <c r="B11" s="6">
        <f>COUNTIFS(수집데이터_수소!$A:$A,"연료전지(PEM)",수집데이터_수소!$F:$F,"필수")</f>
        <v>23</v>
      </c>
      <c r="C11" s="6">
        <f>COUNTIFS(수집데이터_수소!$A:$A,"연료전지(PEM)",수집데이터_수소!$F:$F,"권장")</f>
        <v>13</v>
      </c>
      <c r="D11" s="6">
        <f>COUNTIFS(수집데이터_수소!$A:$A,"연료전지(PEM)",수집데이터_수소!$F:$F,"선택")</f>
        <v>4</v>
      </c>
      <c r="E11" s="6">
        <f t="shared" si="0"/>
        <v>40</v>
      </c>
    </row>
    <row r="12" spans="1:5" x14ac:dyDescent="0.3">
      <c r="A12" s="4" t="s">
        <v>50</v>
      </c>
      <c r="B12" s="6">
        <f>COUNTIFS(수집데이터_전력!$A:$A,"공통·부지",수집데이터_전력!$F:$F,"필수")</f>
        <v>12</v>
      </c>
      <c r="C12" s="6">
        <f>COUNTIFS(수집데이터_전력!$A:$A,"공통·부지",수집데이터_전력!$F:$F,"권장")</f>
        <v>9</v>
      </c>
      <c r="D12" s="6">
        <f>COUNTIFS(수집데이터_전력!$A:$A,"공통·부지",수집데이터_전력!$F:$F,"선택")</f>
        <v>0</v>
      </c>
      <c r="E12" s="6">
        <f t="shared" si="0"/>
        <v>21</v>
      </c>
    </row>
    <row r="13" spans="1:5" x14ac:dyDescent="0.3">
      <c r="A13" s="4" t="s">
        <v>51</v>
      </c>
      <c r="B13" s="6">
        <f>COUNTIFS(수집데이터_수소!$A:$A,"부산물 산소",수집데이터_수소!$F:$F,"필수")</f>
        <v>5</v>
      </c>
      <c r="C13" s="6">
        <f>COUNTIFS(수집데이터_수소!$A:$A,"부산물 산소",수집데이터_수소!$F:$F,"권장")</f>
        <v>1</v>
      </c>
      <c r="D13" s="6">
        <f>COUNTIFS(수집데이터_수소!$A:$A,"부산물 산소",수집데이터_수소!$F:$F,"선택")</f>
        <v>0</v>
      </c>
      <c r="E13" s="6">
        <f t="shared" si="0"/>
        <v>6</v>
      </c>
    </row>
    <row r="14" spans="1:5" x14ac:dyDescent="0.3">
      <c r="A14" s="4" t="s">
        <v>52</v>
      </c>
      <c r="B14" s="6">
        <f>COUNTIFS(수집데이터_수소!$A:$A,"폐열회수",수집데이터_수소!$F:$F,"필수")</f>
        <v>6</v>
      </c>
      <c r="C14" s="6">
        <f>COUNTIFS(수집데이터_수소!$A:$A,"폐열회수",수집데이터_수소!$F:$F,"권장")</f>
        <v>4</v>
      </c>
      <c r="D14" s="6">
        <f>COUNTIFS(수집데이터_수소!$A:$A,"폐열회수",수집데이터_수소!$F:$F,"선택")</f>
        <v>0</v>
      </c>
      <c r="E14" s="6">
        <f t="shared" si="0"/>
        <v>10</v>
      </c>
    </row>
    <row r="15" spans="1:5" x14ac:dyDescent="0.3">
      <c r="A15" s="4" t="s">
        <v>53</v>
      </c>
      <c r="B15" s="6">
        <f>COUNTIFS(수집데이터_수소!$A:$A,"수처리",수집데이터_수소!$F:$F,"필수")</f>
        <v>9</v>
      </c>
      <c r="C15" s="6">
        <f>COUNTIFS(수집데이터_수소!$A:$A,"수처리",수집데이터_수소!$F:$F,"권장")</f>
        <v>3</v>
      </c>
      <c r="D15" s="6">
        <f>COUNTIFS(수집데이터_수소!$A:$A,"수처리",수집데이터_수소!$F:$F,"선택")</f>
        <v>0</v>
      </c>
      <c r="E15" s="6">
        <f t="shared" si="0"/>
        <v>12</v>
      </c>
    </row>
    <row r="16" spans="1:5" x14ac:dyDescent="0.3">
      <c r="A16" s="4" t="s">
        <v>54</v>
      </c>
      <c r="B16" s="6">
        <f>COUNTIFS(수집데이터_수소!$A:$A,"감압·버퍼",수집데이터_수소!$F:$F,"필수")</f>
        <v>2</v>
      </c>
      <c r="C16" s="6">
        <f>COUNTIFS(수집데이터_수소!$A:$A,"감압·버퍼",수집데이터_수소!$F:$F,"권장")</f>
        <v>1</v>
      </c>
      <c r="D16" s="6">
        <f>COUNTIFS(수집데이터_수소!$A:$A,"감압·버퍼",수집데이터_수소!$F:$F,"선택")</f>
        <v>0</v>
      </c>
      <c r="E16" s="6">
        <f t="shared" si="0"/>
        <v>3</v>
      </c>
    </row>
    <row r="17" spans="1:5" x14ac:dyDescent="0.3">
      <c r="A17" s="4" t="s">
        <v>55</v>
      </c>
      <c r="B17" s="6">
        <f>COUNTIFS(수집데이터_수소!$A:$A,"외부 반입",수집데이터_수소!$F:$F,"필수")</f>
        <v>7</v>
      </c>
      <c r="C17" s="6">
        <f>COUNTIFS(수집데이터_수소!$A:$A,"외부 반입",수집데이터_수소!$F:$F,"권장")</f>
        <v>1</v>
      </c>
      <c r="D17" s="6">
        <f>COUNTIFS(수집데이터_수소!$A:$A,"외부 반입",수집데이터_수소!$F:$F,"선택")</f>
        <v>0</v>
      </c>
      <c r="E17" s="6">
        <f t="shared" si="0"/>
        <v>8</v>
      </c>
    </row>
    <row r="18" spans="1:5" x14ac:dyDescent="0.3">
      <c r="A18" s="5" t="s">
        <v>43</v>
      </c>
      <c r="B18" s="7">
        <f>SUM(B6:B17)</f>
        <v>144</v>
      </c>
      <c r="C18" s="7">
        <f>SUM(C6:C17)</f>
        <v>71</v>
      </c>
      <c r="D18" s="7">
        <f>SUM(D6:D17)</f>
        <v>13</v>
      </c>
      <c r="E18" s="7">
        <f>SUM(E6:E17)</f>
        <v>228</v>
      </c>
    </row>
    <row r="19" spans="1:5" x14ac:dyDescent="0.3">
      <c r="A19" s="4"/>
      <c r="B19" s="6"/>
      <c r="C19" s="6"/>
      <c r="D19" s="6"/>
      <c r="E19" s="6"/>
    </row>
    <row r="20" spans="1:5" x14ac:dyDescent="0.3">
      <c r="A20" s="5" t="s">
        <v>56</v>
      </c>
      <c r="B20" s="7" t="s">
        <v>57</v>
      </c>
      <c r="C20" s="7"/>
      <c r="D20" s="7"/>
      <c r="E20" s="7"/>
    </row>
    <row r="21" spans="1:5" x14ac:dyDescent="0.3">
      <c r="A21" s="4" t="s">
        <v>58</v>
      </c>
      <c r="B21" s="6">
        <f>COUNTIF(분석항목×주기!E:E,"●")</f>
        <v>39</v>
      </c>
      <c r="C21" s="6"/>
      <c r="D21" s="6"/>
      <c r="E21" s="6"/>
    </row>
    <row r="22" spans="1:5" x14ac:dyDescent="0.3">
      <c r="A22" s="4" t="s">
        <v>59</v>
      </c>
      <c r="B22" s="6">
        <f>COUNTIF(분석항목×주기!F:F,"●")</f>
        <v>16</v>
      </c>
      <c r="C22" s="6"/>
      <c r="D22" s="6"/>
      <c r="E22" s="6"/>
    </row>
    <row r="23" spans="1:5" x14ac:dyDescent="0.3">
      <c r="A23" s="4" t="s">
        <v>60</v>
      </c>
      <c r="B23" s="6">
        <f>COUNTIF(분석항목×주기!G:G,"●")</f>
        <v>23</v>
      </c>
      <c r="C23" s="6"/>
      <c r="D23" s="6"/>
      <c r="E23" s="6"/>
    </row>
  </sheetData>
  <mergeCells count="1">
    <mergeCell ref="A2:E2"/>
  </mergeCells>
  <phoneticPr fontId="8" type="noConversion"/>
  <pageMargins left="0.75" right="0.75" top="1" bottom="1" header="0.5" footer="0.5"/>
  <pageSetup fitToHeight="0"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H108"/>
  <sheetViews>
    <sheetView showGridLines="0" workbookViewId="0">
      <pane xSplit="3" ySplit="5" topLeftCell="D6" activePane="bottomRight" state="frozen"/>
      <selection pane="topRight"/>
      <selection pane="bottomLeft"/>
      <selection pane="bottomRight"/>
    </sheetView>
  </sheetViews>
  <sheetFormatPr defaultRowHeight="16.5" x14ac:dyDescent="0.3"/>
  <cols>
    <col min="1" max="1" width="13" customWidth="1"/>
    <col min="2" max="2" width="18" customWidth="1"/>
    <col min="3" max="3" width="30" customWidth="1"/>
    <col min="4" max="4" width="12" customWidth="1"/>
    <col min="5" max="5" width="22" customWidth="1"/>
    <col min="6" max="6" width="9" customWidth="1"/>
    <col min="7" max="7" width="60" customWidth="1"/>
    <col min="8" max="8" width="36" customWidth="1"/>
  </cols>
  <sheetData>
    <row r="1" spans="1:8" ht="30" customHeight="1" x14ac:dyDescent="0.3">
      <c r="A1" s="1" t="s">
        <v>61</v>
      </c>
    </row>
    <row r="2" spans="1:8" ht="33.950000000000003" customHeight="1" x14ac:dyDescent="0.3">
      <c r="A2" s="10" t="s">
        <v>62</v>
      </c>
      <c r="B2" s="11"/>
      <c r="C2" s="11"/>
      <c r="D2" s="11"/>
      <c r="E2" s="11"/>
      <c r="F2" s="11"/>
      <c r="G2" s="11"/>
      <c r="H2" s="11"/>
    </row>
    <row r="3" spans="1:8" x14ac:dyDescent="0.3">
      <c r="A3" s="2" t="s">
        <v>2</v>
      </c>
    </row>
    <row r="5" spans="1:8" ht="26.1" customHeight="1" x14ac:dyDescent="0.3">
      <c r="A5" s="3" t="s">
        <v>39</v>
      </c>
      <c r="B5" s="3" t="s">
        <v>63</v>
      </c>
      <c r="C5" s="3" t="s">
        <v>64</v>
      </c>
      <c r="D5" s="3" t="s">
        <v>65</v>
      </c>
      <c r="E5" s="3" t="s">
        <v>66</v>
      </c>
      <c r="F5" s="3" t="s">
        <v>67</v>
      </c>
      <c r="G5" s="3" t="s">
        <v>68</v>
      </c>
      <c r="H5" s="3" t="s">
        <v>69</v>
      </c>
    </row>
    <row r="6" spans="1:8" ht="25.5" x14ac:dyDescent="0.3">
      <c r="A6" s="6" t="s">
        <v>44</v>
      </c>
      <c r="B6" s="4" t="s">
        <v>70</v>
      </c>
      <c r="C6" s="4" t="s">
        <v>71</v>
      </c>
      <c r="D6" s="6" t="s">
        <v>72</v>
      </c>
      <c r="E6" s="4" t="s">
        <v>73</v>
      </c>
      <c r="F6" s="6" t="s">
        <v>40</v>
      </c>
      <c r="G6" s="4" t="s">
        <v>74</v>
      </c>
      <c r="H6" s="4" t="s">
        <v>75</v>
      </c>
    </row>
    <row r="7" spans="1:8" ht="25.5" x14ac:dyDescent="0.3">
      <c r="A7" s="6" t="s">
        <v>44</v>
      </c>
      <c r="B7" s="4" t="s">
        <v>76</v>
      </c>
      <c r="C7" s="4" t="s">
        <v>77</v>
      </c>
      <c r="D7" s="6" t="s">
        <v>78</v>
      </c>
      <c r="E7" s="4" t="s">
        <v>79</v>
      </c>
      <c r="F7" s="6" t="s">
        <v>40</v>
      </c>
      <c r="G7" s="4" t="s">
        <v>80</v>
      </c>
      <c r="H7" s="4" t="s">
        <v>81</v>
      </c>
    </row>
    <row r="8" spans="1:8" ht="25.5" x14ac:dyDescent="0.3">
      <c r="A8" s="6" t="s">
        <v>44</v>
      </c>
      <c r="B8" s="4" t="s">
        <v>76</v>
      </c>
      <c r="C8" s="4" t="s">
        <v>82</v>
      </c>
      <c r="D8" s="6" t="s">
        <v>83</v>
      </c>
      <c r="E8" s="4" t="s">
        <v>84</v>
      </c>
      <c r="F8" s="6" t="s">
        <v>40</v>
      </c>
      <c r="G8" s="4" t="s">
        <v>85</v>
      </c>
      <c r="H8" s="4" t="s">
        <v>86</v>
      </c>
    </row>
    <row r="9" spans="1:8" ht="25.5" x14ac:dyDescent="0.3">
      <c r="A9" s="6" t="s">
        <v>44</v>
      </c>
      <c r="B9" s="4" t="s">
        <v>87</v>
      </c>
      <c r="C9" s="4" t="s">
        <v>88</v>
      </c>
      <c r="D9" s="6" t="s">
        <v>89</v>
      </c>
      <c r="E9" s="4" t="s">
        <v>90</v>
      </c>
      <c r="F9" s="6" t="s">
        <v>40</v>
      </c>
      <c r="G9" s="4" t="s">
        <v>91</v>
      </c>
      <c r="H9" s="4" t="s">
        <v>92</v>
      </c>
    </row>
    <row r="10" spans="1:8" ht="25.5" x14ac:dyDescent="0.3">
      <c r="A10" s="6" t="s">
        <v>44</v>
      </c>
      <c r="B10" s="4" t="s">
        <v>87</v>
      </c>
      <c r="C10" s="4" t="s">
        <v>93</v>
      </c>
      <c r="D10" s="6" t="s">
        <v>94</v>
      </c>
      <c r="E10" s="4" t="s">
        <v>95</v>
      </c>
      <c r="F10" s="6" t="s">
        <v>40</v>
      </c>
      <c r="G10" s="4" t="s">
        <v>96</v>
      </c>
      <c r="H10" s="4" t="s">
        <v>97</v>
      </c>
    </row>
    <row r="11" spans="1:8" ht="25.5" x14ac:dyDescent="0.3">
      <c r="A11" s="6" t="s">
        <v>44</v>
      </c>
      <c r="B11" s="4" t="s">
        <v>87</v>
      </c>
      <c r="C11" s="4" t="s">
        <v>98</v>
      </c>
      <c r="D11" s="6" t="s">
        <v>99</v>
      </c>
      <c r="E11" s="4" t="s">
        <v>100</v>
      </c>
      <c r="F11" s="6" t="s">
        <v>40</v>
      </c>
      <c r="G11" s="4" t="s">
        <v>101</v>
      </c>
      <c r="H11" s="4" t="s">
        <v>102</v>
      </c>
    </row>
    <row r="12" spans="1:8" ht="25.5" x14ac:dyDescent="0.3">
      <c r="A12" s="6" t="s">
        <v>44</v>
      </c>
      <c r="B12" s="4" t="s">
        <v>87</v>
      </c>
      <c r="C12" s="4" t="s">
        <v>103</v>
      </c>
      <c r="D12" s="6" t="s">
        <v>104</v>
      </c>
      <c r="E12" s="4" t="s">
        <v>105</v>
      </c>
      <c r="F12" s="6" t="s">
        <v>40</v>
      </c>
      <c r="G12" s="4" t="s">
        <v>106</v>
      </c>
      <c r="H12" s="4" t="s">
        <v>107</v>
      </c>
    </row>
    <row r="13" spans="1:8" ht="25.5" x14ac:dyDescent="0.3">
      <c r="A13" s="6" t="s">
        <v>44</v>
      </c>
      <c r="B13" s="4" t="s">
        <v>108</v>
      </c>
      <c r="C13" s="4" t="s">
        <v>109</v>
      </c>
      <c r="D13" s="6" t="s">
        <v>110</v>
      </c>
      <c r="E13" s="4" t="s">
        <v>111</v>
      </c>
      <c r="F13" s="6" t="s">
        <v>40</v>
      </c>
      <c r="G13" s="4" t="s">
        <v>112</v>
      </c>
      <c r="H13" s="4" t="s">
        <v>113</v>
      </c>
    </row>
    <row r="14" spans="1:8" ht="25.5" x14ac:dyDescent="0.3">
      <c r="A14" s="6" t="s">
        <v>44</v>
      </c>
      <c r="B14" s="4" t="s">
        <v>108</v>
      </c>
      <c r="C14" s="4" t="s">
        <v>114</v>
      </c>
      <c r="D14" s="6" t="s">
        <v>115</v>
      </c>
      <c r="E14" s="4" t="s">
        <v>116</v>
      </c>
      <c r="F14" s="6" t="s">
        <v>40</v>
      </c>
      <c r="G14" s="4" t="s">
        <v>117</v>
      </c>
      <c r="H14" s="4" t="s">
        <v>118</v>
      </c>
    </row>
    <row r="15" spans="1:8" ht="25.5" x14ac:dyDescent="0.3">
      <c r="A15" s="6" t="s">
        <v>44</v>
      </c>
      <c r="B15" s="4" t="s">
        <v>119</v>
      </c>
      <c r="C15" s="4" t="s">
        <v>120</v>
      </c>
      <c r="D15" s="6" t="s">
        <v>121</v>
      </c>
      <c r="E15" s="4" t="s">
        <v>122</v>
      </c>
      <c r="F15" s="6" t="s">
        <v>40</v>
      </c>
      <c r="G15" s="4" t="s">
        <v>123</v>
      </c>
      <c r="H15" s="4" t="s">
        <v>124</v>
      </c>
    </row>
    <row r="16" spans="1:8" x14ac:dyDescent="0.3">
      <c r="A16" s="6" t="s">
        <v>44</v>
      </c>
      <c r="B16" s="4" t="s">
        <v>125</v>
      </c>
      <c r="C16" s="4" t="s">
        <v>126</v>
      </c>
      <c r="D16" s="6" t="s">
        <v>127</v>
      </c>
      <c r="E16" s="4" t="s">
        <v>128</v>
      </c>
      <c r="F16" s="6" t="s">
        <v>40</v>
      </c>
      <c r="G16" s="4" t="s">
        <v>129</v>
      </c>
      <c r="H16" s="4" t="s">
        <v>130</v>
      </c>
    </row>
    <row r="17" spans="1:8" x14ac:dyDescent="0.3">
      <c r="A17" s="6" t="s">
        <v>44</v>
      </c>
      <c r="B17" s="4" t="s">
        <v>131</v>
      </c>
      <c r="C17" s="4" t="s">
        <v>132</v>
      </c>
      <c r="D17" s="6" t="s">
        <v>133</v>
      </c>
      <c r="E17" s="4" t="s">
        <v>134</v>
      </c>
      <c r="F17" s="6" t="s">
        <v>40</v>
      </c>
      <c r="G17" s="4" t="s">
        <v>135</v>
      </c>
      <c r="H17" s="4" t="s">
        <v>136</v>
      </c>
    </row>
    <row r="18" spans="1:8" ht="38.25" x14ac:dyDescent="0.3">
      <c r="A18" s="6" t="s">
        <v>44</v>
      </c>
      <c r="B18" s="4" t="s">
        <v>76</v>
      </c>
      <c r="C18" s="4" t="s">
        <v>137</v>
      </c>
      <c r="D18" s="6" t="s">
        <v>138</v>
      </c>
      <c r="E18" s="4" t="s">
        <v>139</v>
      </c>
      <c r="F18" s="6" t="s">
        <v>41</v>
      </c>
      <c r="G18" s="4" t="s">
        <v>140</v>
      </c>
      <c r="H18" s="4" t="s">
        <v>141</v>
      </c>
    </row>
    <row r="19" spans="1:8" ht="25.5" x14ac:dyDescent="0.3">
      <c r="A19" s="6" t="s">
        <v>44</v>
      </c>
      <c r="B19" s="4" t="s">
        <v>76</v>
      </c>
      <c r="C19" s="4" t="s">
        <v>142</v>
      </c>
      <c r="D19" s="6" t="s">
        <v>143</v>
      </c>
      <c r="E19" s="4" t="s">
        <v>144</v>
      </c>
      <c r="F19" s="6" t="s">
        <v>41</v>
      </c>
      <c r="G19" s="4" t="s">
        <v>145</v>
      </c>
      <c r="H19" s="4" t="s">
        <v>146</v>
      </c>
    </row>
    <row r="20" spans="1:8" ht="25.5" x14ac:dyDescent="0.3">
      <c r="A20" s="6" t="s">
        <v>44</v>
      </c>
      <c r="B20" s="4" t="s">
        <v>76</v>
      </c>
      <c r="C20" s="4" t="s">
        <v>147</v>
      </c>
      <c r="D20" s="6" t="s">
        <v>148</v>
      </c>
      <c r="E20" s="4" t="s">
        <v>149</v>
      </c>
      <c r="F20" s="6" t="s">
        <v>41</v>
      </c>
      <c r="G20" s="4" t="s">
        <v>150</v>
      </c>
      <c r="H20" s="4" t="s">
        <v>151</v>
      </c>
    </row>
    <row r="21" spans="1:8" ht="25.5" x14ac:dyDescent="0.3">
      <c r="A21" s="6" t="s">
        <v>44</v>
      </c>
      <c r="B21" s="4" t="s">
        <v>87</v>
      </c>
      <c r="C21" s="4" t="s">
        <v>152</v>
      </c>
      <c r="D21" s="6" t="s">
        <v>153</v>
      </c>
      <c r="E21" s="4" t="s">
        <v>154</v>
      </c>
      <c r="F21" s="6" t="s">
        <v>41</v>
      </c>
      <c r="G21" s="4" t="s">
        <v>155</v>
      </c>
      <c r="H21" s="4" t="s">
        <v>156</v>
      </c>
    </row>
    <row r="22" spans="1:8" x14ac:dyDescent="0.3">
      <c r="A22" s="6" t="s">
        <v>44</v>
      </c>
      <c r="B22" s="4" t="s">
        <v>108</v>
      </c>
      <c r="C22" s="4" t="s">
        <v>157</v>
      </c>
      <c r="D22" s="6" t="s">
        <v>158</v>
      </c>
      <c r="E22" s="4" t="s">
        <v>79</v>
      </c>
      <c r="F22" s="6" t="s">
        <v>41</v>
      </c>
      <c r="G22" s="4" t="s">
        <v>159</v>
      </c>
      <c r="H22" s="4" t="s">
        <v>160</v>
      </c>
    </row>
    <row r="23" spans="1:8" x14ac:dyDescent="0.3">
      <c r="A23" s="6" t="s">
        <v>44</v>
      </c>
      <c r="B23" s="4" t="s">
        <v>161</v>
      </c>
      <c r="C23" s="4" t="s">
        <v>162</v>
      </c>
      <c r="D23" s="6" t="s">
        <v>163</v>
      </c>
      <c r="E23" s="4" t="s">
        <v>100</v>
      </c>
      <c r="F23" s="6" t="s">
        <v>41</v>
      </c>
      <c r="G23" s="4" t="s">
        <v>164</v>
      </c>
      <c r="H23" s="4" t="s">
        <v>165</v>
      </c>
    </row>
    <row r="24" spans="1:8" x14ac:dyDescent="0.3">
      <c r="A24" s="6" t="s">
        <v>44</v>
      </c>
      <c r="B24" s="4" t="s">
        <v>166</v>
      </c>
      <c r="C24" s="4" t="s">
        <v>167</v>
      </c>
      <c r="D24" s="6" t="s">
        <v>168</v>
      </c>
      <c r="E24" s="4" t="s">
        <v>122</v>
      </c>
      <c r="F24" s="6" t="s">
        <v>41</v>
      </c>
      <c r="G24" s="4" t="s">
        <v>169</v>
      </c>
      <c r="H24" s="4" t="s">
        <v>170</v>
      </c>
    </row>
    <row r="25" spans="1:8" x14ac:dyDescent="0.3">
      <c r="A25" s="6" t="s">
        <v>44</v>
      </c>
      <c r="B25" s="4" t="s">
        <v>87</v>
      </c>
      <c r="C25" s="4" t="s">
        <v>171</v>
      </c>
      <c r="D25" s="6" t="s">
        <v>172</v>
      </c>
      <c r="E25" s="4" t="s">
        <v>173</v>
      </c>
      <c r="F25" s="6" t="s">
        <v>42</v>
      </c>
      <c r="G25" s="4" t="s">
        <v>174</v>
      </c>
      <c r="H25" s="4" t="s">
        <v>175</v>
      </c>
    </row>
    <row r="26" spans="1:8" x14ac:dyDescent="0.3">
      <c r="A26" s="6" t="s">
        <v>44</v>
      </c>
      <c r="B26" s="4" t="s">
        <v>76</v>
      </c>
      <c r="C26" s="4" t="s">
        <v>176</v>
      </c>
      <c r="D26" s="6" t="s">
        <v>177</v>
      </c>
      <c r="E26" s="4" t="s">
        <v>178</v>
      </c>
      <c r="F26" s="6" t="s">
        <v>42</v>
      </c>
      <c r="G26" s="4" t="s">
        <v>179</v>
      </c>
      <c r="H26" s="4" t="s">
        <v>180</v>
      </c>
    </row>
    <row r="27" spans="1:8" ht="25.5" x14ac:dyDescent="0.3">
      <c r="A27" s="6" t="s">
        <v>44</v>
      </c>
      <c r="B27" s="4" t="s">
        <v>108</v>
      </c>
      <c r="C27" s="4" t="s">
        <v>181</v>
      </c>
      <c r="D27" s="6" t="s">
        <v>182</v>
      </c>
      <c r="E27" s="4" t="s">
        <v>183</v>
      </c>
      <c r="F27" s="6" t="s">
        <v>42</v>
      </c>
      <c r="G27" s="4" t="s">
        <v>184</v>
      </c>
      <c r="H27" s="4" t="s">
        <v>185</v>
      </c>
    </row>
    <row r="28" spans="1:8" ht="38.25" x14ac:dyDescent="0.3">
      <c r="A28" s="6" t="s">
        <v>45</v>
      </c>
      <c r="B28" s="4" t="s">
        <v>186</v>
      </c>
      <c r="C28" s="4" t="s">
        <v>187</v>
      </c>
      <c r="D28" s="6" t="s">
        <v>188</v>
      </c>
      <c r="E28" s="4" t="s">
        <v>189</v>
      </c>
      <c r="F28" s="6" t="s">
        <v>40</v>
      </c>
      <c r="G28" s="4" t="s">
        <v>190</v>
      </c>
      <c r="H28" s="4" t="s">
        <v>191</v>
      </c>
    </row>
    <row r="29" spans="1:8" ht="25.5" x14ac:dyDescent="0.3">
      <c r="A29" s="6" t="s">
        <v>45</v>
      </c>
      <c r="B29" s="4" t="s">
        <v>192</v>
      </c>
      <c r="C29" s="4" t="s">
        <v>193</v>
      </c>
      <c r="D29" s="6" t="s">
        <v>194</v>
      </c>
      <c r="E29" s="4" t="s">
        <v>195</v>
      </c>
      <c r="F29" s="6" t="s">
        <v>40</v>
      </c>
      <c r="G29" s="4" t="s">
        <v>196</v>
      </c>
      <c r="H29" s="4" t="s">
        <v>197</v>
      </c>
    </row>
    <row r="30" spans="1:8" ht="25.5" x14ac:dyDescent="0.3">
      <c r="A30" s="6" t="s">
        <v>45</v>
      </c>
      <c r="B30" s="4" t="s">
        <v>198</v>
      </c>
      <c r="C30" s="4" t="s">
        <v>199</v>
      </c>
      <c r="D30" s="6" t="s">
        <v>78</v>
      </c>
      <c r="E30" s="4" t="s">
        <v>200</v>
      </c>
      <c r="F30" s="6" t="s">
        <v>40</v>
      </c>
      <c r="G30" s="4" t="s">
        <v>201</v>
      </c>
      <c r="H30" s="4" t="s">
        <v>202</v>
      </c>
    </row>
    <row r="31" spans="1:8" ht="25.5" x14ac:dyDescent="0.3">
      <c r="A31" s="6" t="s">
        <v>45</v>
      </c>
      <c r="B31" s="4" t="s">
        <v>198</v>
      </c>
      <c r="C31" s="4" t="s">
        <v>203</v>
      </c>
      <c r="D31" s="6" t="s">
        <v>204</v>
      </c>
      <c r="E31" s="4" t="s">
        <v>205</v>
      </c>
      <c r="F31" s="6" t="s">
        <v>40</v>
      </c>
      <c r="G31" s="4" t="s">
        <v>206</v>
      </c>
      <c r="H31" s="4" t="s">
        <v>207</v>
      </c>
    </row>
    <row r="32" spans="1:8" ht="25.5" x14ac:dyDescent="0.3">
      <c r="A32" s="6" t="s">
        <v>45</v>
      </c>
      <c r="B32" s="4" t="s">
        <v>208</v>
      </c>
      <c r="C32" s="4" t="s">
        <v>209</v>
      </c>
      <c r="D32" s="6" t="s">
        <v>210</v>
      </c>
      <c r="E32" s="4" t="s">
        <v>205</v>
      </c>
      <c r="F32" s="6" t="s">
        <v>40</v>
      </c>
      <c r="G32" s="4" t="s">
        <v>211</v>
      </c>
      <c r="H32" s="4" t="s">
        <v>212</v>
      </c>
    </row>
    <row r="33" spans="1:8" ht="25.5" x14ac:dyDescent="0.3">
      <c r="A33" s="6" t="s">
        <v>45</v>
      </c>
      <c r="B33" s="4" t="s">
        <v>208</v>
      </c>
      <c r="C33" s="4" t="s">
        <v>213</v>
      </c>
      <c r="D33" s="6" t="s">
        <v>83</v>
      </c>
      <c r="E33" s="4" t="s">
        <v>79</v>
      </c>
      <c r="F33" s="6" t="s">
        <v>40</v>
      </c>
      <c r="G33" s="4" t="s">
        <v>214</v>
      </c>
      <c r="H33" s="4" t="s">
        <v>215</v>
      </c>
    </row>
    <row r="34" spans="1:8" x14ac:dyDescent="0.3">
      <c r="A34" s="6" t="s">
        <v>45</v>
      </c>
      <c r="B34" s="4" t="s">
        <v>208</v>
      </c>
      <c r="C34" s="4" t="s">
        <v>216</v>
      </c>
      <c r="D34" s="6" t="s">
        <v>217</v>
      </c>
      <c r="E34" s="4" t="s">
        <v>218</v>
      </c>
      <c r="F34" s="6" t="s">
        <v>40</v>
      </c>
      <c r="G34" s="4" t="s">
        <v>219</v>
      </c>
      <c r="H34" s="4" t="s">
        <v>220</v>
      </c>
    </row>
    <row r="35" spans="1:8" ht="25.5" x14ac:dyDescent="0.3">
      <c r="A35" s="6" t="s">
        <v>45</v>
      </c>
      <c r="B35" s="4" t="s">
        <v>208</v>
      </c>
      <c r="C35" s="4" t="s">
        <v>221</v>
      </c>
      <c r="D35" s="6" t="s">
        <v>222</v>
      </c>
      <c r="E35" s="4" t="s">
        <v>223</v>
      </c>
      <c r="F35" s="6" t="s">
        <v>40</v>
      </c>
      <c r="G35" s="4" t="s">
        <v>224</v>
      </c>
      <c r="H35" s="4" t="s">
        <v>225</v>
      </c>
    </row>
    <row r="36" spans="1:8" ht="25.5" x14ac:dyDescent="0.3">
      <c r="A36" s="6" t="s">
        <v>45</v>
      </c>
      <c r="B36" s="4" t="s">
        <v>226</v>
      </c>
      <c r="C36" s="4" t="s">
        <v>227</v>
      </c>
      <c r="D36" s="6" t="s">
        <v>228</v>
      </c>
      <c r="E36" s="4" t="s">
        <v>229</v>
      </c>
      <c r="F36" s="6" t="s">
        <v>40</v>
      </c>
      <c r="G36" s="4" t="s">
        <v>230</v>
      </c>
      <c r="H36" s="4" t="s">
        <v>231</v>
      </c>
    </row>
    <row r="37" spans="1:8" x14ac:dyDescent="0.3">
      <c r="A37" s="6" t="s">
        <v>45</v>
      </c>
      <c r="B37" s="4" t="s">
        <v>226</v>
      </c>
      <c r="C37" s="4" t="s">
        <v>232</v>
      </c>
      <c r="D37" s="6" t="s">
        <v>233</v>
      </c>
      <c r="E37" s="4" t="s">
        <v>205</v>
      </c>
      <c r="F37" s="6" t="s">
        <v>40</v>
      </c>
      <c r="G37" s="4" t="s">
        <v>234</v>
      </c>
      <c r="H37" s="4" t="s">
        <v>235</v>
      </c>
    </row>
    <row r="38" spans="1:8" x14ac:dyDescent="0.3">
      <c r="A38" s="6" t="s">
        <v>45</v>
      </c>
      <c r="B38" s="4" t="s">
        <v>226</v>
      </c>
      <c r="C38" s="4" t="s">
        <v>236</v>
      </c>
      <c r="D38" s="6" t="s">
        <v>237</v>
      </c>
      <c r="E38" s="4" t="s">
        <v>238</v>
      </c>
      <c r="F38" s="6" t="s">
        <v>40</v>
      </c>
      <c r="G38" s="4" t="s">
        <v>239</v>
      </c>
      <c r="H38" s="4" t="s">
        <v>240</v>
      </c>
    </row>
    <row r="39" spans="1:8" x14ac:dyDescent="0.3">
      <c r="A39" s="6" t="s">
        <v>45</v>
      </c>
      <c r="B39" s="4" t="s">
        <v>241</v>
      </c>
      <c r="C39" s="4" t="s">
        <v>242</v>
      </c>
      <c r="D39" s="6" t="s">
        <v>243</v>
      </c>
      <c r="E39" s="4" t="s">
        <v>244</v>
      </c>
      <c r="F39" s="6" t="s">
        <v>40</v>
      </c>
      <c r="G39" s="4" t="s">
        <v>245</v>
      </c>
      <c r="H39" s="4" t="s">
        <v>246</v>
      </c>
    </row>
    <row r="40" spans="1:8" x14ac:dyDescent="0.3">
      <c r="A40" s="6" t="s">
        <v>45</v>
      </c>
      <c r="B40" s="4" t="s">
        <v>247</v>
      </c>
      <c r="C40" s="4" t="s">
        <v>248</v>
      </c>
      <c r="D40" s="6" t="s">
        <v>249</v>
      </c>
      <c r="E40" s="4" t="s">
        <v>79</v>
      </c>
      <c r="F40" s="6" t="s">
        <v>40</v>
      </c>
      <c r="G40" s="4" t="s">
        <v>250</v>
      </c>
      <c r="H40" s="4" t="s">
        <v>251</v>
      </c>
    </row>
    <row r="41" spans="1:8" ht="25.5" x14ac:dyDescent="0.3">
      <c r="A41" s="6" t="s">
        <v>45</v>
      </c>
      <c r="B41" s="4" t="s">
        <v>252</v>
      </c>
      <c r="C41" s="4" t="s">
        <v>253</v>
      </c>
      <c r="D41" s="6" t="s">
        <v>254</v>
      </c>
      <c r="E41" s="4" t="s">
        <v>255</v>
      </c>
      <c r="F41" s="6" t="s">
        <v>40</v>
      </c>
      <c r="G41" s="4" t="s">
        <v>256</v>
      </c>
      <c r="H41" s="4" t="s">
        <v>257</v>
      </c>
    </row>
    <row r="42" spans="1:8" ht="25.5" x14ac:dyDescent="0.3">
      <c r="A42" s="6" t="s">
        <v>45</v>
      </c>
      <c r="B42" s="4" t="s">
        <v>258</v>
      </c>
      <c r="C42" s="4" t="s">
        <v>259</v>
      </c>
      <c r="D42" s="6" t="s">
        <v>237</v>
      </c>
      <c r="E42" s="4" t="s">
        <v>149</v>
      </c>
      <c r="F42" s="6" t="s">
        <v>40</v>
      </c>
      <c r="G42" s="4" t="s">
        <v>260</v>
      </c>
      <c r="H42" s="4" t="s">
        <v>261</v>
      </c>
    </row>
    <row r="43" spans="1:8" x14ac:dyDescent="0.3">
      <c r="A43" s="6" t="s">
        <v>45</v>
      </c>
      <c r="B43" s="4" t="s">
        <v>262</v>
      </c>
      <c r="C43" s="4" t="s">
        <v>263</v>
      </c>
      <c r="D43" s="6" t="s">
        <v>264</v>
      </c>
      <c r="E43" s="4" t="s">
        <v>255</v>
      </c>
      <c r="F43" s="6" t="s">
        <v>40</v>
      </c>
      <c r="G43" s="4" t="s">
        <v>265</v>
      </c>
      <c r="H43" s="4" t="s">
        <v>266</v>
      </c>
    </row>
    <row r="44" spans="1:8" ht="25.5" x14ac:dyDescent="0.3">
      <c r="A44" s="6" t="s">
        <v>45</v>
      </c>
      <c r="B44" s="4" t="s">
        <v>192</v>
      </c>
      <c r="C44" s="4" t="s">
        <v>267</v>
      </c>
      <c r="D44" s="6" t="s">
        <v>268</v>
      </c>
      <c r="E44" s="4" t="s">
        <v>269</v>
      </c>
      <c r="F44" s="6" t="s">
        <v>41</v>
      </c>
      <c r="G44" s="4" t="s">
        <v>270</v>
      </c>
      <c r="H44" s="4" t="s">
        <v>271</v>
      </c>
    </row>
    <row r="45" spans="1:8" ht="25.5" x14ac:dyDescent="0.3">
      <c r="A45" s="6" t="s">
        <v>45</v>
      </c>
      <c r="B45" s="4" t="s">
        <v>198</v>
      </c>
      <c r="C45" s="4" t="s">
        <v>272</v>
      </c>
      <c r="D45" s="6" t="s">
        <v>273</v>
      </c>
      <c r="E45" s="4" t="s">
        <v>274</v>
      </c>
      <c r="F45" s="6" t="s">
        <v>41</v>
      </c>
      <c r="G45" s="4" t="s">
        <v>275</v>
      </c>
      <c r="H45" s="4" t="s">
        <v>276</v>
      </c>
    </row>
    <row r="46" spans="1:8" x14ac:dyDescent="0.3">
      <c r="A46" s="6" t="s">
        <v>45</v>
      </c>
      <c r="B46" s="4" t="s">
        <v>198</v>
      </c>
      <c r="C46" s="4" t="s">
        <v>277</v>
      </c>
      <c r="D46" s="6" t="s">
        <v>278</v>
      </c>
      <c r="E46" s="4" t="s">
        <v>279</v>
      </c>
      <c r="F46" s="6" t="s">
        <v>41</v>
      </c>
      <c r="G46" s="4" t="s">
        <v>280</v>
      </c>
      <c r="H46" s="4" t="s">
        <v>281</v>
      </c>
    </row>
    <row r="47" spans="1:8" x14ac:dyDescent="0.3">
      <c r="A47" s="6" t="s">
        <v>45</v>
      </c>
      <c r="B47" s="4" t="s">
        <v>208</v>
      </c>
      <c r="C47" s="4" t="s">
        <v>282</v>
      </c>
      <c r="D47" s="6" t="s">
        <v>283</v>
      </c>
      <c r="E47" s="4" t="s">
        <v>284</v>
      </c>
      <c r="F47" s="6" t="s">
        <v>41</v>
      </c>
      <c r="G47" s="4" t="s">
        <v>285</v>
      </c>
      <c r="H47" s="4" t="s">
        <v>286</v>
      </c>
    </row>
    <row r="48" spans="1:8" x14ac:dyDescent="0.3">
      <c r="A48" s="6" t="s">
        <v>45</v>
      </c>
      <c r="B48" s="4" t="s">
        <v>226</v>
      </c>
      <c r="C48" s="4" t="s">
        <v>287</v>
      </c>
      <c r="D48" s="6" t="s">
        <v>288</v>
      </c>
      <c r="E48" s="4" t="s">
        <v>289</v>
      </c>
      <c r="F48" s="6" t="s">
        <v>41</v>
      </c>
      <c r="G48" s="4" t="s">
        <v>290</v>
      </c>
      <c r="H48" s="4" t="s">
        <v>291</v>
      </c>
    </row>
    <row r="49" spans="1:8" x14ac:dyDescent="0.3">
      <c r="A49" s="6" t="s">
        <v>45</v>
      </c>
      <c r="B49" s="4" t="s">
        <v>226</v>
      </c>
      <c r="C49" s="4" t="s">
        <v>292</v>
      </c>
      <c r="D49" s="6" t="s">
        <v>293</v>
      </c>
      <c r="E49" s="4" t="s">
        <v>79</v>
      </c>
      <c r="F49" s="6" t="s">
        <v>41</v>
      </c>
      <c r="G49" s="4" t="s">
        <v>294</v>
      </c>
      <c r="H49" s="4" t="s">
        <v>295</v>
      </c>
    </row>
    <row r="50" spans="1:8" ht="25.5" x14ac:dyDescent="0.3">
      <c r="A50" s="6" t="s">
        <v>45</v>
      </c>
      <c r="B50" s="4" t="s">
        <v>296</v>
      </c>
      <c r="C50" s="4" t="s">
        <v>297</v>
      </c>
      <c r="D50" s="6" t="s">
        <v>298</v>
      </c>
      <c r="E50" s="4" t="s">
        <v>79</v>
      </c>
      <c r="F50" s="6" t="s">
        <v>41</v>
      </c>
      <c r="G50" s="4" t="s">
        <v>299</v>
      </c>
      <c r="H50" s="4" t="s">
        <v>300</v>
      </c>
    </row>
    <row r="51" spans="1:8" ht="25.5" x14ac:dyDescent="0.3">
      <c r="A51" s="6" t="s">
        <v>45</v>
      </c>
      <c r="B51" s="4" t="s">
        <v>258</v>
      </c>
      <c r="C51" s="4" t="s">
        <v>301</v>
      </c>
      <c r="D51" s="6" t="s">
        <v>302</v>
      </c>
      <c r="E51" s="4" t="s">
        <v>205</v>
      </c>
      <c r="F51" s="6" t="s">
        <v>41</v>
      </c>
      <c r="G51" s="4" t="s">
        <v>303</v>
      </c>
      <c r="H51" s="4" t="s">
        <v>304</v>
      </c>
    </row>
    <row r="52" spans="1:8" x14ac:dyDescent="0.3">
      <c r="A52" s="6" t="s">
        <v>45</v>
      </c>
      <c r="B52" s="4" t="s">
        <v>305</v>
      </c>
      <c r="C52" s="4" t="s">
        <v>306</v>
      </c>
      <c r="D52" s="6" t="s">
        <v>307</v>
      </c>
      <c r="E52" s="4" t="s">
        <v>284</v>
      </c>
      <c r="F52" s="6" t="s">
        <v>41</v>
      </c>
      <c r="G52" s="4" t="s">
        <v>308</v>
      </c>
      <c r="H52" s="4" t="s">
        <v>309</v>
      </c>
    </row>
    <row r="53" spans="1:8" x14ac:dyDescent="0.3">
      <c r="A53" s="6" t="s">
        <v>45</v>
      </c>
      <c r="B53" s="4" t="s">
        <v>305</v>
      </c>
      <c r="C53" s="4" t="s">
        <v>310</v>
      </c>
      <c r="D53" s="6" t="s">
        <v>127</v>
      </c>
      <c r="E53" s="4" t="s">
        <v>128</v>
      </c>
      <c r="F53" s="6" t="s">
        <v>41</v>
      </c>
      <c r="G53" s="4" t="s">
        <v>311</v>
      </c>
      <c r="H53" s="4" t="s">
        <v>312</v>
      </c>
    </row>
    <row r="54" spans="1:8" ht="25.5" x14ac:dyDescent="0.3">
      <c r="A54" s="6" t="s">
        <v>45</v>
      </c>
      <c r="B54" s="4" t="s">
        <v>186</v>
      </c>
      <c r="C54" s="4" t="s">
        <v>313</v>
      </c>
      <c r="D54" s="6" t="s">
        <v>314</v>
      </c>
      <c r="E54" s="4" t="s">
        <v>315</v>
      </c>
      <c r="F54" s="6" t="s">
        <v>41</v>
      </c>
      <c r="G54" s="4" t="s">
        <v>316</v>
      </c>
      <c r="H54" s="4" t="s">
        <v>317</v>
      </c>
    </row>
    <row r="55" spans="1:8" x14ac:dyDescent="0.3">
      <c r="A55" s="6" t="s">
        <v>45</v>
      </c>
      <c r="B55" s="4" t="s">
        <v>198</v>
      </c>
      <c r="C55" s="4" t="s">
        <v>318</v>
      </c>
      <c r="D55" s="6" t="s">
        <v>72</v>
      </c>
      <c r="E55" s="4" t="s">
        <v>319</v>
      </c>
      <c r="F55" s="6" t="s">
        <v>42</v>
      </c>
      <c r="G55" s="4" t="s">
        <v>320</v>
      </c>
      <c r="H55" s="4" t="s">
        <v>321</v>
      </c>
    </row>
    <row r="56" spans="1:8" ht="25.5" x14ac:dyDescent="0.3">
      <c r="A56" s="6" t="s">
        <v>46</v>
      </c>
      <c r="B56" s="4" t="s">
        <v>322</v>
      </c>
      <c r="C56" s="4" t="s">
        <v>323</v>
      </c>
      <c r="D56" s="6" t="s">
        <v>127</v>
      </c>
      <c r="E56" s="4" t="s">
        <v>324</v>
      </c>
      <c r="F56" s="6" t="s">
        <v>40</v>
      </c>
      <c r="G56" s="4" t="s">
        <v>325</v>
      </c>
      <c r="H56" s="4" t="s">
        <v>326</v>
      </c>
    </row>
    <row r="57" spans="1:8" ht="25.5" x14ac:dyDescent="0.3">
      <c r="A57" s="6" t="s">
        <v>46</v>
      </c>
      <c r="B57" s="4" t="s">
        <v>322</v>
      </c>
      <c r="C57" s="4" t="s">
        <v>327</v>
      </c>
      <c r="D57" s="6" t="s">
        <v>328</v>
      </c>
      <c r="E57" s="4" t="s">
        <v>329</v>
      </c>
      <c r="F57" s="6" t="s">
        <v>40</v>
      </c>
      <c r="G57" s="4" t="s">
        <v>330</v>
      </c>
      <c r="H57" s="4" t="s">
        <v>331</v>
      </c>
    </row>
    <row r="58" spans="1:8" x14ac:dyDescent="0.3">
      <c r="A58" s="6" t="s">
        <v>46</v>
      </c>
      <c r="B58" s="4" t="s">
        <v>332</v>
      </c>
      <c r="C58" s="4" t="s">
        <v>333</v>
      </c>
      <c r="D58" s="6" t="s">
        <v>334</v>
      </c>
      <c r="E58" s="4" t="s">
        <v>335</v>
      </c>
      <c r="F58" s="6" t="s">
        <v>40</v>
      </c>
      <c r="G58" s="4" t="s">
        <v>336</v>
      </c>
      <c r="H58" s="4" t="s">
        <v>337</v>
      </c>
    </row>
    <row r="59" spans="1:8" x14ac:dyDescent="0.3">
      <c r="A59" s="6" t="s">
        <v>46</v>
      </c>
      <c r="B59" s="4" t="s">
        <v>338</v>
      </c>
      <c r="C59" s="4" t="s">
        <v>339</v>
      </c>
      <c r="D59" s="6" t="s">
        <v>127</v>
      </c>
      <c r="E59" s="4" t="s">
        <v>340</v>
      </c>
      <c r="F59" s="6" t="s">
        <v>40</v>
      </c>
      <c r="G59" s="4" t="s">
        <v>341</v>
      </c>
      <c r="H59" s="4" t="s">
        <v>342</v>
      </c>
    </row>
    <row r="60" spans="1:8" ht="25.5" x14ac:dyDescent="0.3">
      <c r="A60" s="6" t="s">
        <v>46</v>
      </c>
      <c r="B60" s="4" t="s">
        <v>343</v>
      </c>
      <c r="C60" s="4" t="s">
        <v>344</v>
      </c>
      <c r="D60" s="6" t="s">
        <v>115</v>
      </c>
      <c r="E60" s="4" t="s">
        <v>345</v>
      </c>
      <c r="F60" s="6" t="s">
        <v>40</v>
      </c>
      <c r="G60" s="4" t="s">
        <v>346</v>
      </c>
      <c r="H60" s="4" t="s">
        <v>347</v>
      </c>
    </row>
    <row r="61" spans="1:8" ht="25.5" x14ac:dyDescent="0.3">
      <c r="A61" s="6" t="s">
        <v>46</v>
      </c>
      <c r="B61" s="4" t="s">
        <v>348</v>
      </c>
      <c r="C61" s="4" t="s">
        <v>349</v>
      </c>
      <c r="D61" s="6" t="s">
        <v>127</v>
      </c>
      <c r="E61" s="4" t="s">
        <v>340</v>
      </c>
      <c r="F61" s="6" t="s">
        <v>40</v>
      </c>
      <c r="G61" s="4" t="s">
        <v>350</v>
      </c>
      <c r="H61" s="4" t="s">
        <v>351</v>
      </c>
    </row>
    <row r="62" spans="1:8" x14ac:dyDescent="0.3">
      <c r="A62" s="6" t="s">
        <v>46</v>
      </c>
      <c r="B62" s="4" t="s">
        <v>45</v>
      </c>
      <c r="C62" s="4" t="s">
        <v>352</v>
      </c>
      <c r="D62" s="6" t="s">
        <v>353</v>
      </c>
      <c r="E62" s="4" t="s">
        <v>205</v>
      </c>
      <c r="F62" s="6" t="s">
        <v>40</v>
      </c>
      <c r="G62" s="4" t="s">
        <v>354</v>
      </c>
      <c r="H62" s="4" t="s">
        <v>355</v>
      </c>
    </row>
    <row r="63" spans="1:8" x14ac:dyDescent="0.3">
      <c r="A63" s="6" t="s">
        <v>46</v>
      </c>
      <c r="B63" s="4" t="s">
        <v>356</v>
      </c>
      <c r="C63" s="4" t="s">
        <v>357</v>
      </c>
      <c r="D63" s="6" t="s">
        <v>358</v>
      </c>
      <c r="E63" s="4" t="s">
        <v>359</v>
      </c>
      <c r="F63" s="6" t="s">
        <v>40</v>
      </c>
      <c r="G63" s="4" t="s">
        <v>360</v>
      </c>
      <c r="H63" s="4" t="s">
        <v>361</v>
      </c>
    </row>
    <row r="64" spans="1:8" ht="25.5" x14ac:dyDescent="0.3">
      <c r="A64" s="6" t="s">
        <v>46</v>
      </c>
      <c r="B64" s="4" t="s">
        <v>362</v>
      </c>
      <c r="C64" s="4" t="s">
        <v>363</v>
      </c>
      <c r="D64" s="6" t="s">
        <v>364</v>
      </c>
      <c r="E64" s="4" t="s">
        <v>365</v>
      </c>
      <c r="F64" s="6" t="s">
        <v>40</v>
      </c>
      <c r="G64" s="4" t="s">
        <v>366</v>
      </c>
      <c r="H64" s="4" t="s">
        <v>367</v>
      </c>
    </row>
    <row r="65" spans="1:8" ht="25.5" x14ac:dyDescent="0.3">
      <c r="A65" s="6" t="s">
        <v>46</v>
      </c>
      <c r="B65" s="4" t="s">
        <v>368</v>
      </c>
      <c r="C65" s="4" t="s">
        <v>369</v>
      </c>
      <c r="D65" s="6" t="s">
        <v>127</v>
      </c>
      <c r="E65" s="4" t="s">
        <v>340</v>
      </c>
      <c r="F65" s="6" t="s">
        <v>40</v>
      </c>
      <c r="G65" s="4" t="s">
        <v>370</v>
      </c>
      <c r="H65" s="4" t="s">
        <v>371</v>
      </c>
    </row>
    <row r="66" spans="1:8" ht="25.5" x14ac:dyDescent="0.3">
      <c r="A66" s="6" t="s">
        <v>46</v>
      </c>
      <c r="B66" s="4" t="s">
        <v>372</v>
      </c>
      <c r="C66" s="4" t="s">
        <v>373</v>
      </c>
      <c r="D66" s="6" t="s">
        <v>374</v>
      </c>
      <c r="E66" s="4" t="s">
        <v>149</v>
      </c>
      <c r="F66" s="6" t="s">
        <v>40</v>
      </c>
      <c r="G66" s="4" t="s">
        <v>375</v>
      </c>
      <c r="H66" s="4" t="s">
        <v>376</v>
      </c>
    </row>
    <row r="67" spans="1:8" x14ac:dyDescent="0.3">
      <c r="A67" s="6" t="s">
        <v>46</v>
      </c>
      <c r="B67" s="4" t="s">
        <v>377</v>
      </c>
      <c r="C67" s="4" t="s">
        <v>378</v>
      </c>
      <c r="D67" s="6" t="s">
        <v>379</v>
      </c>
      <c r="E67" s="4" t="s">
        <v>380</v>
      </c>
      <c r="F67" s="6" t="s">
        <v>40</v>
      </c>
      <c r="G67" s="4" t="s">
        <v>381</v>
      </c>
      <c r="H67" s="4" t="s">
        <v>382</v>
      </c>
    </row>
    <row r="68" spans="1:8" x14ac:dyDescent="0.3">
      <c r="A68" s="6" t="s">
        <v>46</v>
      </c>
      <c r="B68" s="4" t="s">
        <v>383</v>
      </c>
      <c r="C68" s="4" t="s">
        <v>384</v>
      </c>
      <c r="D68" s="6" t="s">
        <v>385</v>
      </c>
      <c r="E68" s="4" t="s">
        <v>386</v>
      </c>
      <c r="F68" s="6" t="s">
        <v>40</v>
      </c>
      <c r="G68" s="4" t="s">
        <v>387</v>
      </c>
      <c r="H68" s="4" t="s">
        <v>388</v>
      </c>
    </row>
    <row r="69" spans="1:8" x14ac:dyDescent="0.3">
      <c r="A69" s="6" t="s">
        <v>46</v>
      </c>
      <c r="B69" s="4" t="s">
        <v>389</v>
      </c>
      <c r="C69" s="4" t="s">
        <v>390</v>
      </c>
      <c r="D69" s="6" t="s">
        <v>391</v>
      </c>
      <c r="E69" s="4" t="s">
        <v>392</v>
      </c>
      <c r="F69" s="6" t="s">
        <v>40</v>
      </c>
      <c r="G69" s="4" t="s">
        <v>393</v>
      </c>
      <c r="H69" s="4" t="s">
        <v>394</v>
      </c>
    </row>
    <row r="70" spans="1:8" x14ac:dyDescent="0.3">
      <c r="A70" s="6" t="s">
        <v>46</v>
      </c>
      <c r="B70" s="4" t="s">
        <v>395</v>
      </c>
      <c r="C70" s="4" t="s">
        <v>396</v>
      </c>
      <c r="D70" s="6" t="s">
        <v>397</v>
      </c>
      <c r="E70" s="4" t="s">
        <v>398</v>
      </c>
      <c r="F70" s="6" t="s">
        <v>40</v>
      </c>
      <c r="G70" s="4" t="s">
        <v>399</v>
      </c>
      <c r="H70" s="4" t="s">
        <v>400</v>
      </c>
    </row>
    <row r="71" spans="1:8" x14ac:dyDescent="0.3">
      <c r="A71" s="6" t="s">
        <v>46</v>
      </c>
      <c r="B71" s="4" t="s">
        <v>401</v>
      </c>
      <c r="C71" s="4" t="s">
        <v>402</v>
      </c>
      <c r="D71" s="6" t="s">
        <v>391</v>
      </c>
      <c r="E71" s="4" t="s">
        <v>205</v>
      </c>
      <c r="F71" s="6" t="s">
        <v>40</v>
      </c>
      <c r="G71" s="4" t="s">
        <v>403</v>
      </c>
      <c r="H71" s="4" t="s">
        <v>404</v>
      </c>
    </row>
    <row r="72" spans="1:8" x14ac:dyDescent="0.3">
      <c r="A72" s="6" t="s">
        <v>46</v>
      </c>
      <c r="B72" s="4" t="s">
        <v>405</v>
      </c>
      <c r="C72" s="4" t="s">
        <v>406</v>
      </c>
      <c r="D72" s="6" t="s">
        <v>127</v>
      </c>
      <c r="E72" s="4" t="s">
        <v>407</v>
      </c>
      <c r="F72" s="6" t="s">
        <v>40</v>
      </c>
      <c r="G72" s="4" t="s">
        <v>408</v>
      </c>
      <c r="H72" s="4" t="s">
        <v>409</v>
      </c>
    </row>
    <row r="73" spans="1:8" ht="25.5" x14ac:dyDescent="0.3">
      <c r="A73" s="6" t="s">
        <v>46</v>
      </c>
      <c r="B73" s="4" t="s">
        <v>410</v>
      </c>
      <c r="C73" s="4" t="s">
        <v>411</v>
      </c>
      <c r="D73" s="6" t="s">
        <v>412</v>
      </c>
      <c r="E73" s="4" t="s">
        <v>413</v>
      </c>
      <c r="F73" s="6" t="s">
        <v>40</v>
      </c>
      <c r="G73" s="4" t="s">
        <v>414</v>
      </c>
      <c r="H73" s="4" t="s">
        <v>415</v>
      </c>
    </row>
    <row r="74" spans="1:8" x14ac:dyDescent="0.3">
      <c r="A74" s="6" t="s">
        <v>46</v>
      </c>
      <c r="B74" s="4" t="s">
        <v>416</v>
      </c>
      <c r="C74" s="4" t="s">
        <v>417</v>
      </c>
      <c r="D74" s="6" t="s">
        <v>418</v>
      </c>
      <c r="E74" s="4" t="s">
        <v>79</v>
      </c>
      <c r="F74" s="6" t="s">
        <v>40</v>
      </c>
      <c r="G74" s="4" t="s">
        <v>419</v>
      </c>
      <c r="H74" s="4" t="s">
        <v>420</v>
      </c>
    </row>
    <row r="75" spans="1:8" x14ac:dyDescent="0.3">
      <c r="A75" s="6" t="s">
        <v>46</v>
      </c>
      <c r="B75" s="4" t="s">
        <v>421</v>
      </c>
      <c r="C75" s="4" t="s">
        <v>422</v>
      </c>
      <c r="D75" s="6" t="s">
        <v>423</v>
      </c>
      <c r="E75" s="4" t="s">
        <v>79</v>
      </c>
      <c r="F75" s="6" t="s">
        <v>40</v>
      </c>
      <c r="G75" s="4" t="s">
        <v>424</v>
      </c>
      <c r="H75" s="4" t="s">
        <v>425</v>
      </c>
    </row>
    <row r="76" spans="1:8" ht="25.5" x14ac:dyDescent="0.3">
      <c r="A76" s="6" t="s">
        <v>46</v>
      </c>
      <c r="B76" s="4" t="s">
        <v>426</v>
      </c>
      <c r="C76" s="4" t="s">
        <v>427</v>
      </c>
      <c r="D76" s="6" t="s">
        <v>428</v>
      </c>
      <c r="E76" s="4" t="s">
        <v>429</v>
      </c>
      <c r="F76" s="6" t="s">
        <v>40</v>
      </c>
      <c r="G76" s="4" t="s">
        <v>430</v>
      </c>
      <c r="H76" s="4" t="s">
        <v>431</v>
      </c>
    </row>
    <row r="77" spans="1:8" ht="25.5" x14ac:dyDescent="0.3">
      <c r="A77" s="6" t="s">
        <v>46</v>
      </c>
      <c r="B77" s="4" t="s">
        <v>432</v>
      </c>
      <c r="C77" s="4" t="s">
        <v>433</v>
      </c>
      <c r="D77" s="6" t="s">
        <v>374</v>
      </c>
      <c r="E77" s="4" t="s">
        <v>434</v>
      </c>
      <c r="F77" s="6" t="s">
        <v>40</v>
      </c>
      <c r="G77" s="4" t="s">
        <v>435</v>
      </c>
      <c r="H77" s="4" t="s">
        <v>436</v>
      </c>
    </row>
    <row r="78" spans="1:8" ht="25.5" x14ac:dyDescent="0.3">
      <c r="A78" s="6" t="s">
        <v>46</v>
      </c>
      <c r="B78" s="4" t="s">
        <v>44</v>
      </c>
      <c r="C78" s="4" t="s">
        <v>437</v>
      </c>
      <c r="D78" s="6" t="s">
        <v>412</v>
      </c>
      <c r="E78" s="4" t="s">
        <v>79</v>
      </c>
      <c r="F78" s="6" t="s">
        <v>41</v>
      </c>
      <c r="G78" s="4" t="s">
        <v>438</v>
      </c>
      <c r="H78" s="4" t="s">
        <v>439</v>
      </c>
    </row>
    <row r="79" spans="1:8" ht="25.5" x14ac:dyDescent="0.3">
      <c r="A79" s="6" t="s">
        <v>46</v>
      </c>
      <c r="B79" s="4" t="s">
        <v>440</v>
      </c>
      <c r="C79" s="4" t="s">
        <v>441</v>
      </c>
      <c r="D79" s="6" t="s">
        <v>442</v>
      </c>
      <c r="E79" s="4" t="s">
        <v>443</v>
      </c>
      <c r="F79" s="6" t="s">
        <v>41</v>
      </c>
      <c r="G79" s="4" t="s">
        <v>444</v>
      </c>
      <c r="H79" s="4" t="s">
        <v>445</v>
      </c>
    </row>
    <row r="80" spans="1:8" x14ac:dyDescent="0.3">
      <c r="A80" s="6" t="s">
        <v>46</v>
      </c>
      <c r="B80" s="4" t="s">
        <v>446</v>
      </c>
      <c r="C80" s="4" t="s">
        <v>447</v>
      </c>
      <c r="D80" s="6" t="s">
        <v>448</v>
      </c>
      <c r="E80" s="4" t="s">
        <v>449</v>
      </c>
      <c r="F80" s="6" t="s">
        <v>41</v>
      </c>
      <c r="G80" s="4" t="s">
        <v>450</v>
      </c>
      <c r="H80" s="4" t="s">
        <v>451</v>
      </c>
    </row>
    <row r="81" spans="1:8" x14ac:dyDescent="0.3">
      <c r="A81" s="6" t="s">
        <v>46</v>
      </c>
      <c r="B81" s="4" t="s">
        <v>452</v>
      </c>
      <c r="C81" s="4" t="s">
        <v>453</v>
      </c>
      <c r="D81" s="6" t="s">
        <v>127</v>
      </c>
      <c r="E81" s="4" t="s">
        <v>454</v>
      </c>
      <c r="F81" s="6" t="s">
        <v>41</v>
      </c>
      <c r="G81" s="4" t="s">
        <v>455</v>
      </c>
      <c r="H81" s="4" t="s">
        <v>456</v>
      </c>
    </row>
    <row r="82" spans="1:8" x14ac:dyDescent="0.3">
      <c r="A82" s="6" t="s">
        <v>46</v>
      </c>
      <c r="B82" s="4" t="s">
        <v>457</v>
      </c>
      <c r="C82" s="4" t="s">
        <v>458</v>
      </c>
      <c r="D82" s="6" t="s">
        <v>459</v>
      </c>
      <c r="E82" s="4" t="s">
        <v>255</v>
      </c>
      <c r="F82" s="6" t="s">
        <v>41</v>
      </c>
      <c r="G82" s="4" t="s">
        <v>460</v>
      </c>
      <c r="H82" s="4" t="s">
        <v>461</v>
      </c>
    </row>
    <row r="83" spans="1:8" x14ac:dyDescent="0.3">
      <c r="A83" s="6" t="s">
        <v>46</v>
      </c>
      <c r="B83" s="4" t="s">
        <v>462</v>
      </c>
      <c r="C83" s="4" t="s">
        <v>463</v>
      </c>
      <c r="D83" s="6" t="s">
        <v>464</v>
      </c>
      <c r="E83" s="4" t="s">
        <v>465</v>
      </c>
      <c r="F83" s="6" t="s">
        <v>41</v>
      </c>
      <c r="G83" s="4" t="s">
        <v>466</v>
      </c>
      <c r="H83" s="4" t="s">
        <v>467</v>
      </c>
    </row>
    <row r="84" spans="1:8" x14ac:dyDescent="0.3">
      <c r="A84" s="6" t="s">
        <v>46</v>
      </c>
      <c r="B84" s="4" t="s">
        <v>377</v>
      </c>
      <c r="C84" s="4" t="s">
        <v>468</v>
      </c>
      <c r="D84" s="6" t="s">
        <v>469</v>
      </c>
      <c r="E84" s="4" t="s">
        <v>470</v>
      </c>
      <c r="F84" s="6" t="s">
        <v>41</v>
      </c>
      <c r="G84" s="4" t="s">
        <v>471</v>
      </c>
      <c r="H84" s="4" t="s">
        <v>382</v>
      </c>
    </row>
    <row r="85" spans="1:8" x14ac:dyDescent="0.3">
      <c r="A85" s="6" t="s">
        <v>46</v>
      </c>
      <c r="B85" s="4" t="s">
        <v>472</v>
      </c>
      <c r="C85" s="4" t="s">
        <v>473</v>
      </c>
      <c r="D85" s="6" t="s">
        <v>474</v>
      </c>
      <c r="E85" s="4" t="s">
        <v>475</v>
      </c>
      <c r="F85" s="6" t="s">
        <v>41</v>
      </c>
      <c r="G85" s="4" t="s">
        <v>476</v>
      </c>
      <c r="H85" s="4" t="s">
        <v>477</v>
      </c>
    </row>
    <row r="86" spans="1:8" x14ac:dyDescent="0.3">
      <c r="A86" s="6" t="s">
        <v>46</v>
      </c>
      <c r="B86" s="4" t="s">
        <v>478</v>
      </c>
      <c r="C86" s="4" t="s">
        <v>479</v>
      </c>
      <c r="D86" s="6" t="s">
        <v>480</v>
      </c>
      <c r="E86" s="4" t="s">
        <v>398</v>
      </c>
      <c r="F86" s="6" t="s">
        <v>42</v>
      </c>
      <c r="G86" s="4" t="s">
        <v>481</v>
      </c>
      <c r="H86" s="4" t="s">
        <v>482</v>
      </c>
    </row>
    <row r="87" spans="1:8" x14ac:dyDescent="0.3">
      <c r="A87" s="6" t="s">
        <v>46</v>
      </c>
      <c r="B87" s="4" t="s">
        <v>483</v>
      </c>
      <c r="C87" s="4" t="s">
        <v>484</v>
      </c>
      <c r="D87" s="6" t="s">
        <v>485</v>
      </c>
      <c r="E87" s="4" t="s">
        <v>486</v>
      </c>
      <c r="F87" s="6" t="s">
        <v>42</v>
      </c>
      <c r="G87" s="4" t="s">
        <v>487</v>
      </c>
      <c r="H87" s="4" t="s">
        <v>488</v>
      </c>
    </row>
    <row r="88" spans="1:8" x14ac:dyDescent="0.3">
      <c r="A88" s="6" t="s">
        <v>50</v>
      </c>
      <c r="B88" s="4" t="s">
        <v>489</v>
      </c>
      <c r="C88" s="4" t="s">
        <v>490</v>
      </c>
      <c r="D88" s="6" t="s">
        <v>491</v>
      </c>
      <c r="E88" s="4" t="s">
        <v>149</v>
      </c>
      <c r="F88" s="6" t="s">
        <v>40</v>
      </c>
      <c r="G88" s="4" t="s">
        <v>492</v>
      </c>
      <c r="H88" s="4" t="s">
        <v>493</v>
      </c>
    </row>
    <row r="89" spans="1:8" ht="25.5" x14ac:dyDescent="0.3">
      <c r="A89" s="6" t="s">
        <v>50</v>
      </c>
      <c r="B89" s="4" t="s">
        <v>489</v>
      </c>
      <c r="C89" s="4" t="s">
        <v>494</v>
      </c>
      <c r="D89" s="6" t="s">
        <v>495</v>
      </c>
      <c r="E89" s="4" t="s">
        <v>496</v>
      </c>
      <c r="F89" s="6" t="s">
        <v>40</v>
      </c>
      <c r="G89" s="4" t="s">
        <v>497</v>
      </c>
      <c r="H89" s="4" t="s">
        <v>498</v>
      </c>
    </row>
    <row r="90" spans="1:8" x14ac:dyDescent="0.3">
      <c r="A90" s="6" t="s">
        <v>50</v>
      </c>
      <c r="B90" s="4" t="s">
        <v>499</v>
      </c>
      <c r="C90" s="4" t="s">
        <v>500</v>
      </c>
      <c r="D90" s="6" t="s">
        <v>501</v>
      </c>
      <c r="E90" s="4" t="s">
        <v>502</v>
      </c>
      <c r="F90" s="6" t="s">
        <v>40</v>
      </c>
      <c r="G90" s="4" t="s">
        <v>503</v>
      </c>
      <c r="H90" s="4" t="s">
        <v>504</v>
      </c>
    </row>
    <row r="91" spans="1:8" x14ac:dyDescent="0.3">
      <c r="A91" s="6" t="s">
        <v>50</v>
      </c>
      <c r="B91" s="4" t="s">
        <v>426</v>
      </c>
      <c r="C91" s="4" t="s">
        <v>505</v>
      </c>
      <c r="D91" s="6" t="s">
        <v>149</v>
      </c>
      <c r="E91" s="4" t="s">
        <v>496</v>
      </c>
      <c r="F91" s="6" t="s">
        <v>40</v>
      </c>
      <c r="G91" s="4" t="s">
        <v>506</v>
      </c>
      <c r="H91" s="4" t="s">
        <v>507</v>
      </c>
    </row>
    <row r="92" spans="1:8" x14ac:dyDescent="0.3">
      <c r="A92" s="6" t="s">
        <v>50</v>
      </c>
      <c r="B92" s="4" t="s">
        <v>508</v>
      </c>
      <c r="C92" s="4" t="s">
        <v>509</v>
      </c>
      <c r="D92" s="6" t="s">
        <v>149</v>
      </c>
      <c r="E92" s="4" t="s">
        <v>510</v>
      </c>
      <c r="F92" s="6" t="s">
        <v>40</v>
      </c>
      <c r="G92" s="4" t="s">
        <v>511</v>
      </c>
      <c r="H92" s="4" t="s">
        <v>512</v>
      </c>
    </row>
    <row r="93" spans="1:8" ht="38.25" x14ac:dyDescent="0.3">
      <c r="A93" s="6" t="s">
        <v>50</v>
      </c>
      <c r="B93" s="4" t="s">
        <v>513</v>
      </c>
      <c r="C93" s="4" t="s">
        <v>514</v>
      </c>
      <c r="D93" s="6" t="s">
        <v>515</v>
      </c>
      <c r="E93" s="4" t="s">
        <v>516</v>
      </c>
      <c r="F93" s="6" t="s">
        <v>40</v>
      </c>
      <c r="G93" s="4" t="s">
        <v>517</v>
      </c>
      <c r="H93" s="4" t="s">
        <v>518</v>
      </c>
    </row>
    <row r="94" spans="1:8" ht="38.25" x14ac:dyDescent="0.3">
      <c r="A94" s="6" t="s">
        <v>50</v>
      </c>
      <c r="B94" s="4" t="s">
        <v>519</v>
      </c>
      <c r="C94" s="4" t="s">
        <v>520</v>
      </c>
      <c r="D94" s="6" t="s">
        <v>521</v>
      </c>
      <c r="E94" s="4" t="s">
        <v>149</v>
      </c>
      <c r="F94" s="6" t="s">
        <v>40</v>
      </c>
      <c r="G94" s="4" t="s">
        <v>522</v>
      </c>
      <c r="H94" s="4" t="s">
        <v>523</v>
      </c>
    </row>
    <row r="95" spans="1:8" x14ac:dyDescent="0.3">
      <c r="A95" s="6" t="s">
        <v>50</v>
      </c>
      <c r="B95" s="4" t="s">
        <v>524</v>
      </c>
      <c r="C95" s="4" t="s">
        <v>525</v>
      </c>
      <c r="D95" s="6" t="s">
        <v>127</v>
      </c>
      <c r="E95" s="4" t="s">
        <v>454</v>
      </c>
      <c r="F95" s="6" t="s">
        <v>40</v>
      </c>
      <c r="G95" s="4" t="s">
        <v>526</v>
      </c>
      <c r="H95" s="4" t="s">
        <v>527</v>
      </c>
    </row>
    <row r="96" spans="1:8" ht="25.5" x14ac:dyDescent="0.3">
      <c r="A96" s="6" t="s">
        <v>50</v>
      </c>
      <c r="B96" s="4" t="s">
        <v>524</v>
      </c>
      <c r="C96" s="4" t="s">
        <v>528</v>
      </c>
      <c r="D96" s="6" t="s">
        <v>529</v>
      </c>
      <c r="E96" s="4" t="s">
        <v>149</v>
      </c>
      <c r="F96" s="6" t="s">
        <v>40</v>
      </c>
      <c r="G96" s="4" t="s">
        <v>530</v>
      </c>
      <c r="H96" s="4" t="s">
        <v>531</v>
      </c>
    </row>
    <row r="97" spans="1:8" x14ac:dyDescent="0.3">
      <c r="A97" s="6" t="s">
        <v>50</v>
      </c>
      <c r="B97" s="4" t="s">
        <v>532</v>
      </c>
      <c r="C97" s="4" t="s">
        <v>533</v>
      </c>
      <c r="D97" s="6" t="s">
        <v>127</v>
      </c>
      <c r="E97" s="4" t="s">
        <v>128</v>
      </c>
      <c r="F97" s="6" t="s">
        <v>40</v>
      </c>
      <c r="G97" s="4" t="s">
        <v>534</v>
      </c>
      <c r="H97" s="4" t="s">
        <v>535</v>
      </c>
    </row>
    <row r="98" spans="1:8" x14ac:dyDescent="0.3">
      <c r="A98" s="6" t="s">
        <v>50</v>
      </c>
      <c r="B98" s="4" t="s">
        <v>532</v>
      </c>
      <c r="C98" s="4" t="s">
        <v>536</v>
      </c>
      <c r="D98" s="6" t="s">
        <v>412</v>
      </c>
      <c r="E98" s="4" t="s">
        <v>128</v>
      </c>
      <c r="F98" s="6" t="s">
        <v>40</v>
      </c>
      <c r="G98" s="4" t="s">
        <v>537</v>
      </c>
      <c r="H98" s="4" t="s">
        <v>538</v>
      </c>
    </row>
    <row r="99" spans="1:8" x14ac:dyDescent="0.3">
      <c r="A99" s="6" t="s">
        <v>50</v>
      </c>
      <c r="B99" s="4" t="s">
        <v>539</v>
      </c>
      <c r="C99" s="4" t="s">
        <v>540</v>
      </c>
      <c r="D99" s="6" t="s">
        <v>314</v>
      </c>
      <c r="E99" s="4" t="s">
        <v>541</v>
      </c>
      <c r="F99" s="6" t="s">
        <v>40</v>
      </c>
      <c r="G99" s="4" t="s">
        <v>542</v>
      </c>
      <c r="H99" s="4" t="s">
        <v>543</v>
      </c>
    </row>
    <row r="100" spans="1:8" x14ac:dyDescent="0.3">
      <c r="A100" s="6" t="s">
        <v>50</v>
      </c>
      <c r="B100" s="4" t="s">
        <v>544</v>
      </c>
      <c r="C100" s="4" t="s">
        <v>545</v>
      </c>
      <c r="D100" s="6" t="s">
        <v>546</v>
      </c>
      <c r="E100" s="4" t="s">
        <v>547</v>
      </c>
      <c r="F100" s="6" t="s">
        <v>41</v>
      </c>
      <c r="G100" s="4" t="s">
        <v>548</v>
      </c>
      <c r="H100" s="4" t="s">
        <v>549</v>
      </c>
    </row>
    <row r="101" spans="1:8" x14ac:dyDescent="0.3">
      <c r="A101" s="6" t="s">
        <v>50</v>
      </c>
      <c r="B101" s="4" t="s">
        <v>550</v>
      </c>
      <c r="C101" s="4" t="s">
        <v>551</v>
      </c>
      <c r="D101" s="6" t="s">
        <v>552</v>
      </c>
      <c r="E101" s="4" t="s">
        <v>553</v>
      </c>
      <c r="F101" s="6" t="s">
        <v>41</v>
      </c>
      <c r="G101" s="4" t="s">
        <v>554</v>
      </c>
      <c r="H101" s="4" t="s">
        <v>555</v>
      </c>
    </row>
    <row r="102" spans="1:8" x14ac:dyDescent="0.3">
      <c r="A102" s="6" t="s">
        <v>50</v>
      </c>
      <c r="B102" s="4" t="s">
        <v>556</v>
      </c>
      <c r="C102" s="4" t="s">
        <v>557</v>
      </c>
      <c r="D102" s="6" t="s">
        <v>194</v>
      </c>
      <c r="E102" s="4" t="s">
        <v>558</v>
      </c>
      <c r="F102" s="6" t="s">
        <v>41</v>
      </c>
      <c r="G102" s="4" t="s">
        <v>559</v>
      </c>
      <c r="H102" s="4" t="s">
        <v>560</v>
      </c>
    </row>
    <row r="103" spans="1:8" ht="25.5" x14ac:dyDescent="0.3">
      <c r="A103" s="6" t="s">
        <v>50</v>
      </c>
      <c r="B103" s="4" t="s">
        <v>561</v>
      </c>
      <c r="C103" s="4" t="s">
        <v>562</v>
      </c>
      <c r="D103" s="6" t="s">
        <v>563</v>
      </c>
      <c r="E103" s="4" t="s">
        <v>564</v>
      </c>
      <c r="F103" s="6" t="s">
        <v>41</v>
      </c>
      <c r="G103" s="4" t="s">
        <v>565</v>
      </c>
      <c r="H103" s="4" t="s">
        <v>566</v>
      </c>
    </row>
    <row r="104" spans="1:8" x14ac:dyDescent="0.3">
      <c r="A104" s="6" t="s">
        <v>50</v>
      </c>
      <c r="B104" s="4" t="s">
        <v>567</v>
      </c>
      <c r="C104" s="4" t="s">
        <v>568</v>
      </c>
      <c r="D104" s="6" t="s">
        <v>569</v>
      </c>
      <c r="E104" s="4" t="s">
        <v>570</v>
      </c>
      <c r="F104" s="6" t="s">
        <v>41</v>
      </c>
      <c r="G104" s="4" t="s">
        <v>571</v>
      </c>
      <c r="H104" s="4" t="s">
        <v>572</v>
      </c>
    </row>
    <row r="105" spans="1:8" x14ac:dyDescent="0.3">
      <c r="A105" s="6" t="s">
        <v>50</v>
      </c>
      <c r="B105" s="4" t="s">
        <v>573</v>
      </c>
      <c r="C105" s="4" t="s">
        <v>574</v>
      </c>
      <c r="D105" s="6" t="s">
        <v>575</v>
      </c>
      <c r="E105" s="4" t="s">
        <v>284</v>
      </c>
      <c r="F105" s="6" t="s">
        <v>41</v>
      </c>
      <c r="G105" s="4" t="s">
        <v>576</v>
      </c>
      <c r="H105" s="4" t="s">
        <v>577</v>
      </c>
    </row>
    <row r="106" spans="1:8" x14ac:dyDescent="0.3">
      <c r="A106" s="6" t="s">
        <v>50</v>
      </c>
      <c r="B106" s="4" t="s">
        <v>578</v>
      </c>
      <c r="C106" s="4" t="s">
        <v>579</v>
      </c>
      <c r="D106" s="6" t="s">
        <v>580</v>
      </c>
      <c r="E106" s="4" t="s">
        <v>516</v>
      </c>
      <c r="F106" s="6" t="s">
        <v>41</v>
      </c>
      <c r="G106" s="4" t="s">
        <v>581</v>
      </c>
      <c r="H106" s="4" t="s">
        <v>582</v>
      </c>
    </row>
    <row r="107" spans="1:8" ht="25.5" x14ac:dyDescent="0.3">
      <c r="A107" s="6" t="s">
        <v>50</v>
      </c>
      <c r="B107" s="4" t="s">
        <v>583</v>
      </c>
      <c r="C107" s="4" t="s">
        <v>584</v>
      </c>
      <c r="D107" s="6" t="s">
        <v>585</v>
      </c>
      <c r="E107" s="4" t="s">
        <v>586</v>
      </c>
      <c r="F107" s="6" t="s">
        <v>41</v>
      </c>
      <c r="G107" s="4" t="s">
        <v>587</v>
      </c>
      <c r="H107" s="4" t="s">
        <v>588</v>
      </c>
    </row>
    <row r="108" spans="1:8" x14ac:dyDescent="0.3">
      <c r="A108" s="6" t="s">
        <v>50</v>
      </c>
      <c r="B108" s="4" t="s">
        <v>45</v>
      </c>
      <c r="C108" s="4" t="s">
        <v>589</v>
      </c>
      <c r="D108" s="6" t="s">
        <v>590</v>
      </c>
      <c r="E108" s="4" t="s">
        <v>591</v>
      </c>
      <c r="F108" s="6" t="s">
        <v>41</v>
      </c>
      <c r="G108" s="4" t="s">
        <v>592</v>
      </c>
      <c r="H108" s="4" t="s">
        <v>593</v>
      </c>
    </row>
  </sheetData>
  <autoFilter ref="A5:H108" xr:uid="{00000000-0009-0000-0000-000002000000}"/>
  <mergeCells count="1">
    <mergeCell ref="A2:H2"/>
  </mergeCells>
  <phoneticPr fontId="8" type="noConversion"/>
  <pageMargins left="0.75" right="0.75" top="1" bottom="1" header="0.5" footer="0.5"/>
  <pageSetup fitToHeight="0"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H130"/>
  <sheetViews>
    <sheetView showGridLines="0" workbookViewId="0">
      <pane xSplit="3" ySplit="5" topLeftCell="D6" activePane="bottomRight" state="frozen"/>
      <selection pane="topRight"/>
      <selection pane="bottomLeft"/>
      <selection pane="bottomRight"/>
    </sheetView>
  </sheetViews>
  <sheetFormatPr defaultRowHeight="16.5" x14ac:dyDescent="0.3"/>
  <cols>
    <col min="1" max="1" width="13" customWidth="1"/>
    <col min="2" max="2" width="18" customWidth="1"/>
    <col min="3" max="3" width="30" customWidth="1"/>
    <col min="4" max="4" width="12" customWidth="1"/>
    <col min="5" max="5" width="22" customWidth="1"/>
    <col min="6" max="6" width="9" customWidth="1"/>
    <col min="7" max="7" width="60" customWidth="1"/>
    <col min="8" max="8" width="36" customWidth="1"/>
  </cols>
  <sheetData>
    <row r="1" spans="1:8" ht="30" customHeight="1" x14ac:dyDescent="0.3">
      <c r="A1" s="1" t="s">
        <v>594</v>
      </c>
    </row>
    <row r="2" spans="1:8" ht="33.950000000000003" customHeight="1" x14ac:dyDescent="0.3">
      <c r="A2" s="10" t="s">
        <v>595</v>
      </c>
      <c r="B2" s="11"/>
      <c r="C2" s="11"/>
      <c r="D2" s="11"/>
      <c r="E2" s="11"/>
      <c r="F2" s="11"/>
      <c r="G2" s="11"/>
      <c r="H2" s="11"/>
    </row>
    <row r="3" spans="1:8" x14ac:dyDescent="0.3">
      <c r="A3" s="2" t="s">
        <v>2</v>
      </c>
    </row>
    <row r="5" spans="1:8" ht="26.1" customHeight="1" x14ac:dyDescent="0.3">
      <c r="A5" s="3" t="s">
        <v>39</v>
      </c>
      <c r="B5" s="3" t="s">
        <v>63</v>
      </c>
      <c r="C5" s="3" t="s">
        <v>64</v>
      </c>
      <c r="D5" s="3" t="s">
        <v>65</v>
      </c>
      <c r="E5" s="3" t="s">
        <v>66</v>
      </c>
      <c r="F5" s="3" t="s">
        <v>67</v>
      </c>
      <c r="G5" s="3" t="s">
        <v>68</v>
      </c>
      <c r="H5" s="3" t="s">
        <v>69</v>
      </c>
    </row>
    <row r="6" spans="1:8" x14ac:dyDescent="0.3">
      <c r="A6" s="6" t="s">
        <v>47</v>
      </c>
      <c r="B6" s="4" t="s">
        <v>478</v>
      </c>
      <c r="C6" s="4" t="s">
        <v>596</v>
      </c>
      <c r="D6" s="6" t="s">
        <v>597</v>
      </c>
      <c r="E6" s="4" t="s">
        <v>598</v>
      </c>
      <c r="F6" s="6" t="s">
        <v>40</v>
      </c>
      <c r="G6" s="4" t="s">
        <v>599</v>
      </c>
      <c r="H6" s="4" t="s">
        <v>600</v>
      </c>
    </row>
    <row r="7" spans="1:8" x14ac:dyDescent="0.3">
      <c r="A7" s="6" t="s">
        <v>47</v>
      </c>
      <c r="B7" s="4" t="s">
        <v>601</v>
      </c>
      <c r="C7" s="4" t="s">
        <v>602</v>
      </c>
      <c r="D7" s="6" t="s">
        <v>603</v>
      </c>
      <c r="E7" s="4" t="s">
        <v>604</v>
      </c>
      <c r="F7" s="6" t="s">
        <v>40</v>
      </c>
      <c r="G7" s="4" t="s">
        <v>605</v>
      </c>
      <c r="H7" s="4" t="s">
        <v>606</v>
      </c>
    </row>
    <row r="8" spans="1:8" ht="25.5" x14ac:dyDescent="0.3">
      <c r="A8" s="6" t="s">
        <v>47</v>
      </c>
      <c r="B8" s="4" t="s">
        <v>607</v>
      </c>
      <c r="C8" s="4" t="s">
        <v>608</v>
      </c>
      <c r="D8" s="6" t="s">
        <v>609</v>
      </c>
      <c r="E8" s="4" t="s">
        <v>610</v>
      </c>
      <c r="F8" s="6" t="s">
        <v>40</v>
      </c>
      <c r="G8" s="4" t="s">
        <v>611</v>
      </c>
      <c r="H8" s="4" t="s">
        <v>612</v>
      </c>
    </row>
    <row r="9" spans="1:8" x14ac:dyDescent="0.3">
      <c r="A9" s="6" t="s">
        <v>47</v>
      </c>
      <c r="B9" s="4" t="s">
        <v>613</v>
      </c>
      <c r="C9" s="4" t="s">
        <v>614</v>
      </c>
      <c r="D9" s="6" t="s">
        <v>615</v>
      </c>
      <c r="E9" s="4" t="s">
        <v>616</v>
      </c>
      <c r="F9" s="6" t="s">
        <v>40</v>
      </c>
      <c r="G9" s="4" t="s">
        <v>617</v>
      </c>
      <c r="H9" s="4" t="s">
        <v>618</v>
      </c>
    </row>
    <row r="10" spans="1:8" x14ac:dyDescent="0.3">
      <c r="A10" s="6" t="s">
        <v>47</v>
      </c>
      <c r="B10" s="4" t="s">
        <v>619</v>
      </c>
      <c r="C10" s="4" t="s">
        <v>620</v>
      </c>
      <c r="D10" s="6" t="s">
        <v>621</v>
      </c>
      <c r="E10" s="4" t="s">
        <v>616</v>
      </c>
      <c r="F10" s="6" t="s">
        <v>40</v>
      </c>
      <c r="G10" s="4" t="s">
        <v>622</v>
      </c>
      <c r="H10" s="4" t="s">
        <v>623</v>
      </c>
    </row>
    <row r="11" spans="1:8" x14ac:dyDescent="0.3">
      <c r="A11" s="6" t="s">
        <v>47</v>
      </c>
      <c r="B11" s="4" t="s">
        <v>624</v>
      </c>
      <c r="C11" s="4" t="s">
        <v>625</v>
      </c>
      <c r="D11" s="6" t="s">
        <v>626</v>
      </c>
      <c r="E11" s="4" t="s">
        <v>616</v>
      </c>
      <c r="F11" s="6" t="s">
        <v>40</v>
      </c>
      <c r="G11" s="4" t="s">
        <v>627</v>
      </c>
      <c r="H11" s="4" t="s">
        <v>628</v>
      </c>
    </row>
    <row r="12" spans="1:8" x14ac:dyDescent="0.3">
      <c r="A12" s="6" t="s">
        <v>47</v>
      </c>
      <c r="B12" s="4" t="s">
        <v>629</v>
      </c>
      <c r="C12" s="4" t="s">
        <v>630</v>
      </c>
      <c r="D12" s="6" t="s">
        <v>631</v>
      </c>
      <c r="E12" s="4" t="s">
        <v>616</v>
      </c>
      <c r="F12" s="6" t="s">
        <v>40</v>
      </c>
      <c r="G12" s="4" t="s">
        <v>632</v>
      </c>
      <c r="H12" s="4" t="s">
        <v>633</v>
      </c>
    </row>
    <row r="13" spans="1:8" x14ac:dyDescent="0.3">
      <c r="A13" s="6" t="s">
        <v>47</v>
      </c>
      <c r="B13" s="4" t="s">
        <v>634</v>
      </c>
      <c r="C13" s="4" t="s">
        <v>635</v>
      </c>
      <c r="D13" s="6" t="s">
        <v>636</v>
      </c>
      <c r="E13" s="4" t="s">
        <v>637</v>
      </c>
      <c r="F13" s="6" t="s">
        <v>40</v>
      </c>
      <c r="G13" s="4" t="s">
        <v>638</v>
      </c>
      <c r="H13" s="4" t="s">
        <v>639</v>
      </c>
    </row>
    <row r="14" spans="1:8" x14ac:dyDescent="0.3">
      <c r="A14" s="6" t="s">
        <v>47</v>
      </c>
      <c r="B14" s="4" t="s">
        <v>640</v>
      </c>
      <c r="C14" s="4" t="s">
        <v>641</v>
      </c>
      <c r="D14" s="6" t="s">
        <v>642</v>
      </c>
      <c r="E14" s="4" t="s">
        <v>637</v>
      </c>
      <c r="F14" s="6" t="s">
        <v>40</v>
      </c>
      <c r="G14" s="4" t="s">
        <v>643</v>
      </c>
      <c r="H14" s="4" t="s">
        <v>644</v>
      </c>
    </row>
    <row r="15" spans="1:8" x14ac:dyDescent="0.3">
      <c r="A15" s="6" t="s">
        <v>47</v>
      </c>
      <c r="B15" s="4" t="s">
        <v>645</v>
      </c>
      <c r="C15" s="4" t="s">
        <v>646</v>
      </c>
      <c r="D15" s="6" t="s">
        <v>237</v>
      </c>
      <c r="E15" s="4" t="s">
        <v>647</v>
      </c>
      <c r="F15" s="6" t="s">
        <v>40</v>
      </c>
      <c r="G15" s="4" t="s">
        <v>648</v>
      </c>
      <c r="H15" s="4" t="s">
        <v>649</v>
      </c>
    </row>
    <row r="16" spans="1:8" x14ac:dyDescent="0.3">
      <c r="A16" s="6" t="s">
        <v>47</v>
      </c>
      <c r="B16" s="4" t="s">
        <v>645</v>
      </c>
      <c r="C16" s="4" t="s">
        <v>650</v>
      </c>
      <c r="D16" s="6" t="s">
        <v>651</v>
      </c>
      <c r="E16" s="4" t="s">
        <v>616</v>
      </c>
      <c r="F16" s="6" t="s">
        <v>40</v>
      </c>
      <c r="G16" s="4" t="s">
        <v>652</v>
      </c>
      <c r="H16" s="4" t="s">
        <v>653</v>
      </c>
    </row>
    <row r="17" spans="1:8" ht="25.5" x14ac:dyDescent="0.3">
      <c r="A17" s="6" t="s">
        <v>47</v>
      </c>
      <c r="B17" s="4" t="s">
        <v>654</v>
      </c>
      <c r="C17" s="4" t="s">
        <v>655</v>
      </c>
      <c r="D17" s="6" t="s">
        <v>412</v>
      </c>
      <c r="E17" s="4" t="s">
        <v>656</v>
      </c>
      <c r="F17" s="6" t="s">
        <v>40</v>
      </c>
      <c r="G17" s="4" t="s">
        <v>657</v>
      </c>
      <c r="H17" s="4" t="s">
        <v>658</v>
      </c>
    </row>
    <row r="18" spans="1:8" x14ac:dyDescent="0.3">
      <c r="A18" s="6" t="s">
        <v>47</v>
      </c>
      <c r="B18" s="4" t="s">
        <v>654</v>
      </c>
      <c r="C18" s="4" t="s">
        <v>659</v>
      </c>
      <c r="D18" s="6" t="s">
        <v>127</v>
      </c>
      <c r="E18" s="4" t="s">
        <v>660</v>
      </c>
      <c r="F18" s="6" t="s">
        <v>40</v>
      </c>
      <c r="G18" s="4" t="s">
        <v>661</v>
      </c>
      <c r="H18" s="4" t="s">
        <v>662</v>
      </c>
    </row>
    <row r="19" spans="1:8" x14ac:dyDescent="0.3">
      <c r="A19" s="6" t="s">
        <v>47</v>
      </c>
      <c r="B19" s="4" t="s">
        <v>478</v>
      </c>
      <c r="C19" s="4" t="s">
        <v>663</v>
      </c>
      <c r="D19" s="6" t="s">
        <v>664</v>
      </c>
      <c r="E19" s="4" t="s">
        <v>616</v>
      </c>
      <c r="F19" s="6" t="s">
        <v>41</v>
      </c>
      <c r="G19" s="4" t="s">
        <v>665</v>
      </c>
      <c r="H19" s="4" t="s">
        <v>666</v>
      </c>
    </row>
    <row r="20" spans="1:8" x14ac:dyDescent="0.3">
      <c r="A20" s="6" t="s">
        <v>47</v>
      </c>
      <c r="B20" s="4" t="s">
        <v>601</v>
      </c>
      <c r="C20" s="4" t="s">
        <v>667</v>
      </c>
      <c r="D20" s="6" t="s">
        <v>314</v>
      </c>
      <c r="E20" s="4" t="s">
        <v>668</v>
      </c>
      <c r="F20" s="6" t="s">
        <v>41</v>
      </c>
      <c r="G20" s="4" t="s">
        <v>669</v>
      </c>
      <c r="H20" s="4" t="s">
        <v>670</v>
      </c>
    </row>
    <row r="21" spans="1:8" x14ac:dyDescent="0.3">
      <c r="A21" s="6" t="s">
        <v>47</v>
      </c>
      <c r="B21" s="4" t="s">
        <v>601</v>
      </c>
      <c r="C21" s="4" t="s">
        <v>671</v>
      </c>
      <c r="D21" s="6" t="s">
        <v>72</v>
      </c>
      <c r="E21" s="4" t="s">
        <v>672</v>
      </c>
      <c r="F21" s="6" t="s">
        <v>41</v>
      </c>
      <c r="G21" s="4" t="s">
        <v>673</v>
      </c>
      <c r="H21" s="4" t="s">
        <v>623</v>
      </c>
    </row>
    <row r="22" spans="1:8" x14ac:dyDescent="0.3">
      <c r="A22" s="6" t="s">
        <v>47</v>
      </c>
      <c r="B22" s="4" t="s">
        <v>613</v>
      </c>
      <c r="C22" s="4" t="s">
        <v>674</v>
      </c>
      <c r="D22" s="6" t="s">
        <v>675</v>
      </c>
      <c r="E22" s="4" t="s">
        <v>616</v>
      </c>
      <c r="F22" s="6" t="s">
        <v>41</v>
      </c>
      <c r="G22" s="4" t="s">
        <v>676</v>
      </c>
      <c r="H22" s="4" t="s">
        <v>677</v>
      </c>
    </row>
    <row r="23" spans="1:8" x14ac:dyDescent="0.3">
      <c r="A23" s="6" t="s">
        <v>47</v>
      </c>
      <c r="B23" s="4" t="s">
        <v>629</v>
      </c>
      <c r="C23" s="4" t="s">
        <v>678</v>
      </c>
      <c r="D23" s="6" t="s">
        <v>679</v>
      </c>
      <c r="E23" s="4" t="s">
        <v>149</v>
      </c>
      <c r="F23" s="6" t="s">
        <v>41</v>
      </c>
      <c r="G23" s="4" t="s">
        <v>680</v>
      </c>
      <c r="H23" s="4" t="s">
        <v>681</v>
      </c>
    </row>
    <row r="24" spans="1:8" ht="25.5" x14ac:dyDescent="0.3">
      <c r="A24" s="6" t="s">
        <v>47</v>
      </c>
      <c r="B24" s="4" t="s">
        <v>634</v>
      </c>
      <c r="C24" s="4" t="s">
        <v>682</v>
      </c>
      <c r="D24" s="6" t="s">
        <v>683</v>
      </c>
      <c r="E24" s="4" t="s">
        <v>684</v>
      </c>
      <c r="F24" s="6" t="s">
        <v>41</v>
      </c>
      <c r="G24" s="4" t="s">
        <v>685</v>
      </c>
      <c r="H24" s="4" t="s">
        <v>686</v>
      </c>
    </row>
    <row r="25" spans="1:8" ht="25.5" x14ac:dyDescent="0.3">
      <c r="A25" s="6" t="s">
        <v>47</v>
      </c>
      <c r="B25" s="4" t="s">
        <v>687</v>
      </c>
      <c r="C25" s="4" t="s">
        <v>688</v>
      </c>
      <c r="D25" s="6" t="s">
        <v>689</v>
      </c>
      <c r="E25" s="4" t="s">
        <v>690</v>
      </c>
      <c r="F25" s="6" t="s">
        <v>41</v>
      </c>
      <c r="G25" s="4" t="s">
        <v>691</v>
      </c>
      <c r="H25" s="4" t="s">
        <v>692</v>
      </c>
    </row>
    <row r="26" spans="1:8" x14ac:dyDescent="0.3">
      <c r="A26" s="6" t="s">
        <v>47</v>
      </c>
      <c r="B26" s="4" t="s">
        <v>645</v>
      </c>
      <c r="C26" s="4" t="s">
        <v>693</v>
      </c>
      <c r="D26" s="6" t="s">
        <v>412</v>
      </c>
      <c r="E26" s="4" t="s">
        <v>637</v>
      </c>
      <c r="F26" s="6" t="s">
        <v>41</v>
      </c>
      <c r="G26" s="4" t="s">
        <v>694</v>
      </c>
      <c r="H26" s="4" t="s">
        <v>695</v>
      </c>
    </row>
    <row r="27" spans="1:8" x14ac:dyDescent="0.3">
      <c r="A27" s="6" t="s">
        <v>47</v>
      </c>
      <c r="B27" s="4" t="s">
        <v>478</v>
      </c>
      <c r="C27" s="4" t="s">
        <v>696</v>
      </c>
      <c r="D27" s="6" t="s">
        <v>697</v>
      </c>
      <c r="E27" s="4" t="s">
        <v>698</v>
      </c>
      <c r="F27" s="6" t="s">
        <v>42</v>
      </c>
      <c r="G27" s="4" t="s">
        <v>699</v>
      </c>
      <c r="H27" s="4" t="s">
        <v>700</v>
      </c>
    </row>
    <row r="28" spans="1:8" ht="25.5" x14ac:dyDescent="0.3">
      <c r="A28" s="6" t="s">
        <v>48</v>
      </c>
      <c r="B28" s="4" t="s">
        <v>701</v>
      </c>
      <c r="C28" s="4" t="s">
        <v>702</v>
      </c>
      <c r="D28" s="6" t="s">
        <v>703</v>
      </c>
      <c r="E28" s="4" t="s">
        <v>704</v>
      </c>
      <c r="F28" s="6" t="s">
        <v>40</v>
      </c>
      <c r="G28" s="4" t="s">
        <v>705</v>
      </c>
      <c r="H28" s="4" t="s">
        <v>706</v>
      </c>
    </row>
    <row r="29" spans="1:8" x14ac:dyDescent="0.3">
      <c r="A29" s="6" t="s">
        <v>48</v>
      </c>
      <c r="B29" s="4" t="s">
        <v>707</v>
      </c>
      <c r="C29" s="4" t="s">
        <v>708</v>
      </c>
      <c r="D29" s="6" t="s">
        <v>709</v>
      </c>
      <c r="E29" s="4" t="s">
        <v>616</v>
      </c>
      <c r="F29" s="6" t="s">
        <v>40</v>
      </c>
      <c r="G29" s="4" t="s">
        <v>710</v>
      </c>
      <c r="H29" s="4" t="s">
        <v>711</v>
      </c>
    </row>
    <row r="30" spans="1:8" x14ac:dyDescent="0.3">
      <c r="A30" s="6" t="s">
        <v>48</v>
      </c>
      <c r="B30" s="4" t="s">
        <v>707</v>
      </c>
      <c r="C30" s="4" t="s">
        <v>712</v>
      </c>
      <c r="D30" s="6" t="s">
        <v>194</v>
      </c>
      <c r="E30" s="4" t="s">
        <v>713</v>
      </c>
      <c r="F30" s="6" t="s">
        <v>40</v>
      </c>
      <c r="G30" s="4" t="s">
        <v>714</v>
      </c>
      <c r="H30" s="4" t="s">
        <v>715</v>
      </c>
    </row>
    <row r="31" spans="1:8" x14ac:dyDescent="0.3">
      <c r="A31" s="6" t="s">
        <v>48</v>
      </c>
      <c r="B31" s="4" t="s">
        <v>707</v>
      </c>
      <c r="C31" s="4" t="s">
        <v>716</v>
      </c>
      <c r="D31" s="6" t="s">
        <v>717</v>
      </c>
      <c r="E31" s="4" t="s">
        <v>718</v>
      </c>
      <c r="F31" s="6" t="s">
        <v>40</v>
      </c>
      <c r="G31" s="4" t="s">
        <v>719</v>
      </c>
      <c r="H31" s="4" t="s">
        <v>720</v>
      </c>
    </row>
    <row r="32" spans="1:8" x14ac:dyDescent="0.3">
      <c r="A32" s="6" t="s">
        <v>48</v>
      </c>
      <c r="B32" s="4" t="s">
        <v>721</v>
      </c>
      <c r="C32" s="4" t="s">
        <v>722</v>
      </c>
      <c r="D32" s="6" t="s">
        <v>723</v>
      </c>
      <c r="E32" s="4" t="s">
        <v>724</v>
      </c>
      <c r="F32" s="6" t="s">
        <v>40</v>
      </c>
      <c r="G32" s="4" t="s">
        <v>725</v>
      </c>
      <c r="H32" s="4" t="s">
        <v>726</v>
      </c>
    </row>
    <row r="33" spans="1:8" x14ac:dyDescent="0.3">
      <c r="A33" s="6" t="s">
        <v>48</v>
      </c>
      <c r="B33" s="4" t="s">
        <v>707</v>
      </c>
      <c r="C33" s="4" t="s">
        <v>727</v>
      </c>
      <c r="D33" s="6" t="s">
        <v>728</v>
      </c>
      <c r="E33" s="4" t="s">
        <v>724</v>
      </c>
      <c r="F33" s="6" t="s">
        <v>40</v>
      </c>
      <c r="G33" s="4" t="s">
        <v>729</v>
      </c>
      <c r="H33" s="4" t="s">
        <v>730</v>
      </c>
    </row>
    <row r="34" spans="1:8" ht="25.5" x14ac:dyDescent="0.3">
      <c r="A34" s="6" t="s">
        <v>48</v>
      </c>
      <c r="B34" s="4" t="s">
        <v>731</v>
      </c>
      <c r="C34" s="4" t="s">
        <v>732</v>
      </c>
      <c r="D34" s="6" t="s">
        <v>709</v>
      </c>
      <c r="E34" s="4" t="s">
        <v>733</v>
      </c>
      <c r="F34" s="6" t="s">
        <v>40</v>
      </c>
      <c r="G34" s="4" t="s">
        <v>734</v>
      </c>
      <c r="H34" s="4" t="s">
        <v>735</v>
      </c>
    </row>
    <row r="35" spans="1:8" x14ac:dyDescent="0.3">
      <c r="A35" s="6" t="s">
        <v>48</v>
      </c>
      <c r="B35" s="4" t="s">
        <v>731</v>
      </c>
      <c r="C35" s="4" t="s">
        <v>736</v>
      </c>
      <c r="D35" s="6" t="s">
        <v>194</v>
      </c>
      <c r="E35" s="4" t="s">
        <v>637</v>
      </c>
      <c r="F35" s="6" t="s">
        <v>40</v>
      </c>
      <c r="G35" s="4" t="s">
        <v>737</v>
      </c>
      <c r="H35" s="4" t="s">
        <v>738</v>
      </c>
    </row>
    <row r="36" spans="1:8" x14ac:dyDescent="0.3">
      <c r="A36" s="6" t="s">
        <v>48</v>
      </c>
      <c r="B36" s="4" t="s">
        <v>731</v>
      </c>
      <c r="C36" s="4" t="s">
        <v>739</v>
      </c>
      <c r="D36" s="6" t="s">
        <v>740</v>
      </c>
      <c r="E36" s="4" t="s">
        <v>741</v>
      </c>
      <c r="F36" s="6" t="s">
        <v>40</v>
      </c>
      <c r="G36" s="4" t="s">
        <v>742</v>
      </c>
      <c r="H36" s="4" t="s">
        <v>743</v>
      </c>
    </row>
    <row r="37" spans="1:8" x14ac:dyDescent="0.3">
      <c r="A37" s="6" t="s">
        <v>48</v>
      </c>
      <c r="B37" s="4" t="s">
        <v>744</v>
      </c>
      <c r="C37" s="4" t="s">
        <v>745</v>
      </c>
      <c r="D37" s="6" t="s">
        <v>237</v>
      </c>
      <c r="E37" s="4" t="s">
        <v>724</v>
      </c>
      <c r="F37" s="6" t="s">
        <v>40</v>
      </c>
      <c r="G37" s="4" t="s">
        <v>746</v>
      </c>
      <c r="H37" s="4" t="s">
        <v>747</v>
      </c>
    </row>
    <row r="38" spans="1:8" x14ac:dyDescent="0.3">
      <c r="A38" s="6" t="s">
        <v>48</v>
      </c>
      <c r="B38" s="4" t="s">
        <v>748</v>
      </c>
      <c r="C38" s="4" t="s">
        <v>749</v>
      </c>
      <c r="D38" s="6" t="s">
        <v>750</v>
      </c>
      <c r="E38" s="4" t="s">
        <v>616</v>
      </c>
      <c r="F38" s="6" t="s">
        <v>40</v>
      </c>
      <c r="G38" s="4" t="s">
        <v>751</v>
      </c>
      <c r="H38" s="4" t="s">
        <v>623</v>
      </c>
    </row>
    <row r="39" spans="1:8" ht="25.5" x14ac:dyDescent="0.3">
      <c r="A39" s="6" t="s">
        <v>48</v>
      </c>
      <c r="B39" s="4" t="s">
        <v>752</v>
      </c>
      <c r="C39" s="4" t="s">
        <v>753</v>
      </c>
      <c r="D39" s="6" t="s">
        <v>754</v>
      </c>
      <c r="E39" s="4" t="s">
        <v>755</v>
      </c>
      <c r="F39" s="6" t="s">
        <v>40</v>
      </c>
      <c r="G39" s="4" t="s">
        <v>756</v>
      </c>
      <c r="H39" s="4" t="s">
        <v>757</v>
      </c>
    </row>
    <row r="40" spans="1:8" x14ac:dyDescent="0.3">
      <c r="A40" s="6" t="s">
        <v>48</v>
      </c>
      <c r="B40" s="4" t="s">
        <v>752</v>
      </c>
      <c r="C40" s="4" t="s">
        <v>758</v>
      </c>
      <c r="D40" s="6" t="s">
        <v>237</v>
      </c>
      <c r="E40" s="4" t="s">
        <v>149</v>
      </c>
      <c r="F40" s="6" t="s">
        <v>40</v>
      </c>
      <c r="G40" s="4" t="s">
        <v>759</v>
      </c>
      <c r="H40" s="4" t="s">
        <v>760</v>
      </c>
    </row>
    <row r="41" spans="1:8" x14ac:dyDescent="0.3">
      <c r="A41" s="6" t="s">
        <v>48</v>
      </c>
      <c r="B41" s="4" t="s">
        <v>761</v>
      </c>
      <c r="C41" s="4" t="s">
        <v>762</v>
      </c>
      <c r="D41" s="6" t="s">
        <v>237</v>
      </c>
      <c r="E41" s="4" t="s">
        <v>149</v>
      </c>
      <c r="F41" s="6" t="s">
        <v>40</v>
      </c>
      <c r="G41" s="4" t="s">
        <v>763</v>
      </c>
      <c r="H41" s="4" t="s">
        <v>764</v>
      </c>
    </row>
    <row r="42" spans="1:8" ht="25.5" x14ac:dyDescent="0.3">
      <c r="A42" s="6" t="s">
        <v>48</v>
      </c>
      <c r="B42" s="4" t="s">
        <v>765</v>
      </c>
      <c r="C42" s="4" t="s">
        <v>766</v>
      </c>
      <c r="D42" s="6" t="s">
        <v>767</v>
      </c>
      <c r="E42" s="4" t="s">
        <v>768</v>
      </c>
      <c r="F42" s="6" t="s">
        <v>40</v>
      </c>
      <c r="G42" s="4" t="s">
        <v>769</v>
      </c>
      <c r="H42" s="4" t="s">
        <v>770</v>
      </c>
    </row>
    <row r="43" spans="1:8" x14ac:dyDescent="0.3">
      <c r="A43" s="6" t="s">
        <v>48</v>
      </c>
      <c r="B43" s="4" t="s">
        <v>765</v>
      </c>
      <c r="C43" s="4" t="s">
        <v>771</v>
      </c>
      <c r="D43" s="6" t="s">
        <v>237</v>
      </c>
      <c r="E43" s="4" t="s">
        <v>149</v>
      </c>
      <c r="F43" s="6" t="s">
        <v>40</v>
      </c>
      <c r="G43" s="4" t="s">
        <v>772</v>
      </c>
      <c r="H43" s="4" t="s">
        <v>773</v>
      </c>
    </row>
    <row r="44" spans="1:8" x14ac:dyDescent="0.3">
      <c r="A44" s="6" t="s">
        <v>48</v>
      </c>
      <c r="B44" s="4" t="s">
        <v>774</v>
      </c>
      <c r="C44" s="4" t="s">
        <v>775</v>
      </c>
      <c r="D44" s="6" t="s">
        <v>776</v>
      </c>
      <c r="E44" s="4" t="s">
        <v>777</v>
      </c>
      <c r="F44" s="6" t="s">
        <v>40</v>
      </c>
      <c r="G44" s="4" t="s">
        <v>778</v>
      </c>
      <c r="H44" s="4" t="s">
        <v>623</v>
      </c>
    </row>
    <row r="45" spans="1:8" x14ac:dyDescent="0.3">
      <c r="A45" s="6" t="s">
        <v>48</v>
      </c>
      <c r="B45" s="4" t="s">
        <v>701</v>
      </c>
      <c r="C45" s="4" t="s">
        <v>779</v>
      </c>
      <c r="D45" s="6" t="s">
        <v>780</v>
      </c>
      <c r="E45" s="4" t="s">
        <v>781</v>
      </c>
      <c r="F45" s="6" t="s">
        <v>41</v>
      </c>
      <c r="G45" s="4" t="s">
        <v>782</v>
      </c>
      <c r="H45" s="4" t="s">
        <v>783</v>
      </c>
    </row>
    <row r="46" spans="1:8" x14ac:dyDescent="0.3">
      <c r="A46" s="6" t="s">
        <v>48</v>
      </c>
      <c r="B46" s="4" t="s">
        <v>707</v>
      </c>
      <c r="C46" s="4" t="s">
        <v>784</v>
      </c>
      <c r="D46" s="6" t="s">
        <v>785</v>
      </c>
      <c r="E46" s="4" t="s">
        <v>616</v>
      </c>
      <c r="F46" s="6" t="s">
        <v>41</v>
      </c>
      <c r="G46" s="4" t="s">
        <v>786</v>
      </c>
      <c r="H46" s="4" t="s">
        <v>787</v>
      </c>
    </row>
    <row r="47" spans="1:8" x14ac:dyDescent="0.3">
      <c r="A47" s="6" t="s">
        <v>48</v>
      </c>
      <c r="B47" s="4" t="s">
        <v>721</v>
      </c>
      <c r="C47" s="4" t="s">
        <v>788</v>
      </c>
      <c r="D47" s="6" t="s">
        <v>750</v>
      </c>
      <c r="E47" s="4" t="s">
        <v>789</v>
      </c>
      <c r="F47" s="6" t="s">
        <v>41</v>
      </c>
      <c r="G47" s="4" t="s">
        <v>790</v>
      </c>
      <c r="H47" s="4" t="s">
        <v>791</v>
      </c>
    </row>
    <row r="48" spans="1:8" ht="25.5" x14ac:dyDescent="0.3">
      <c r="A48" s="6" t="s">
        <v>48</v>
      </c>
      <c r="B48" s="4" t="s">
        <v>707</v>
      </c>
      <c r="C48" s="4" t="s">
        <v>792</v>
      </c>
      <c r="D48" s="6" t="s">
        <v>793</v>
      </c>
      <c r="E48" s="4" t="s">
        <v>794</v>
      </c>
      <c r="F48" s="6" t="s">
        <v>41</v>
      </c>
      <c r="G48" s="4" t="s">
        <v>795</v>
      </c>
      <c r="H48" s="4" t="s">
        <v>796</v>
      </c>
    </row>
    <row r="49" spans="1:8" ht="25.5" x14ac:dyDescent="0.3">
      <c r="A49" s="6" t="s">
        <v>48</v>
      </c>
      <c r="B49" s="4" t="s">
        <v>797</v>
      </c>
      <c r="C49" s="4" t="s">
        <v>798</v>
      </c>
      <c r="D49" s="6" t="s">
        <v>799</v>
      </c>
      <c r="E49" s="4" t="s">
        <v>800</v>
      </c>
      <c r="F49" s="6" t="s">
        <v>41</v>
      </c>
      <c r="G49" s="4" t="s">
        <v>801</v>
      </c>
      <c r="H49" s="4" t="s">
        <v>802</v>
      </c>
    </row>
    <row r="50" spans="1:8" x14ac:dyDescent="0.3">
      <c r="A50" s="6" t="s">
        <v>48</v>
      </c>
      <c r="B50" s="4" t="s">
        <v>707</v>
      </c>
      <c r="C50" s="4" t="s">
        <v>803</v>
      </c>
      <c r="D50" s="6" t="s">
        <v>804</v>
      </c>
      <c r="E50" s="4" t="s">
        <v>805</v>
      </c>
      <c r="F50" s="6" t="s">
        <v>42</v>
      </c>
      <c r="G50" s="4" t="s">
        <v>806</v>
      </c>
      <c r="H50" s="4" t="s">
        <v>807</v>
      </c>
    </row>
    <row r="51" spans="1:8" x14ac:dyDescent="0.3">
      <c r="A51" s="6" t="s">
        <v>48</v>
      </c>
      <c r="B51" s="4" t="s">
        <v>808</v>
      </c>
      <c r="C51" s="4" t="s">
        <v>809</v>
      </c>
      <c r="D51" s="6" t="s">
        <v>750</v>
      </c>
      <c r="E51" s="4" t="s">
        <v>741</v>
      </c>
      <c r="F51" s="6" t="s">
        <v>42</v>
      </c>
      <c r="G51" s="4" t="s">
        <v>810</v>
      </c>
      <c r="H51" s="4" t="s">
        <v>623</v>
      </c>
    </row>
    <row r="52" spans="1:8" ht="38.25" x14ac:dyDescent="0.3">
      <c r="A52" s="6" t="s">
        <v>49</v>
      </c>
      <c r="B52" s="4" t="s">
        <v>811</v>
      </c>
      <c r="C52" s="4" t="s">
        <v>812</v>
      </c>
      <c r="D52" s="6" t="s">
        <v>314</v>
      </c>
      <c r="E52" s="4" t="s">
        <v>813</v>
      </c>
      <c r="F52" s="6" t="s">
        <v>40</v>
      </c>
      <c r="G52" s="4" t="s">
        <v>814</v>
      </c>
      <c r="H52" s="4" t="s">
        <v>815</v>
      </c>
    </row>
    <row r="53" spans="1:8" x14ac:dyDescent="0.3">
      <c r="A53" s="6" t="s">
        <v>49</v>
      </c>
      <c r="B53" s="4" t="s">
        <v>601</v>
      </c>
      <c r="C53" s="4" t="s">
        <v>816</v>
      </c>
      <c r="D53" s="6" t="s">
        <v>78</v>
      </c>
      <c r="E53" s="4" t="s">
        <v>817</v>
      </c>
      <c r="F53" s="6" t="s">
        <v>40</v>
      </c>
      <c r="G53" s="4" t="s">
        <v>818</v>
      </c>
      <c r="H53" s="4" t="s">
        <v>819</v>
      </c>
    </row>
    <row r="54" spans="1:8" x14ac:dyDescent="0.3">
      <c r="A54" s="6" t="s">
        <v>49</v>
      </c>
      <c r="B54" s="4" t="s">
        <v>811</v>
      </c>
      <c r="C54" s="4" t="s">
        <v>820</v>
      </c>
      <c r="D54" s="6" t="s">
        <v>314</v>
      </c>
      <c r="E54" s="4" t="s">
        <v>821</v>
      </c>
      <c r="F54" s="6" t="s">
        <v>40</v>
      </c>
      <c r="G54" s="4" t="s">
        <v>822</v>
      </c>
      <c r="H54" s="4" t="s">
        <v>823</v>
      </c>
    </row>
    <row r="55" spans="1:8" x14ac:dyDescent="0.3">
      <c r="A55" s="6" t="s">
        <v>49</v>
      </c>
      <c r="B55" s="4" t="s">
        <v>824</v>
      </c>
      <c r="C55" s="4" t="s">
        <v>825</v>
      </c>
      <c r="D55" s="6" t="s">
        <v>826</v>
      </c>
      <c r="E55" s="4" t="s">
        <v>827</v>
      </c>
      <c r="F55" s="6" t="s">
        <v>40</v>
      </c>
      <c r="G55" s="4" t="s">
        <v>828</v>
      </c>
      <c r="H55" s="4" t="s">
        <v>829</v>
      </c>
    </row>
    <row r="56" spans="1:8" x14ac:dyDescent="0.3">
      <c r="A56" s="6" t="s">
        <v>49</v>
      </c>
      <c r="B56" s="4" t="s">
        <v>824</v>
      </c>
      <c r="C56" s="4" t="s">
        <v>830</v>
      </c>
      <c r="D56" s="6" t="s">
        <v>785</v>
      </c>
      <c r="E56" s="4" t="s">
        <v>831</v>
      </c>
      <c r="F56" s="6" t="s">
        <v>40</v>
      </c>
      <c r="G56" s="4" t="s">
        <v>832</v>
      </c>
      <c r="H56" s="4" t="s">
        <v>833</v>
      </c>
    </row>
    <row r="57" spans="1:8" x14ac:dyDescent="0.3">
      <c r="A57" s="6" t="s">
        <v>49</v>
      </c>
      <c r="B57" s="4" t="s">
        <v>834</v>
      </c>
      <c r="C57" s="4" t="s">
        <v>835</v>
      </c>
      <c r="D57" s="6" t="s">
        <v>836</v>
      </c>
      <c r="E57" s="4" t="s">
        <v>837</v>
      </c>
      <c r="F57" s="6" t="s">
        <v>40</v>
      </c>
      <c r="G57" s="4" t="s">
        <v>838</v>
      </c>
      <c r="H57" s="4" t="s">
        <v>839</v>
      </c>
    </row>
    <row r="58" spans="1:8" x14ac:dyDescent="0.3">
      <c r="A58" s="6" t="s">
        <v>49</v>
      </c>
      <c r="B58" s="4" t="s">
        <v>840</v>
      </c>
      <c r="C58" s="4" t="s">
        <v>841</v>
      </c>
      <c r="D58" s="6" t="s">
        <v>842</v>
      </c>
      <c r="E58" s="4" t="s">
        <v>843</v>
      </c>
      <c r="F58" s="6" t="s">
        <v>40</v>
      </c>
      <c r="G58" s="4" t="s">
        <v>844</v>
      </c>
      <c r="H58" s="4" t="s">
        <v>845</v>
      </c>
    </row>
    <row r="59" spans="1:8" x14ac:dyDescent="0.3">
      <c r="A59" s="6" t="s">
        <v>49</v>
      </c>
      <c r="B59" s="4" t="s">
        <v>840</v>
      </c>
      <c r="C59" s="4" t="s">
        <v>846</v>
      </c>
      <c r="D59" s="6" t="s">
        <v>847</v>
      </c>
      <c r="E59" s="4" t="s">
        <v>616</v>
      </c>
      <c r="F59" s="6" t="s">
        <v>40</v>
      </c>
      <c r="G59" s="4" t="s">
        <v>848</v>
      </c>
      <c r="H59" s="4" t="s">
        <v>829</v>
      </c>
    </row>
    <row r="60" spans="1:8" x14ac:dyDescent="0.3">
      <c r="A60" s="6" t="s">
        <v>49</v>
      </c>
      <c r="B60" s="4" t="s">
        <v>849</v>
      </c>
      <c r="C60" s="4" t="s">
        <v>850</v>
      </c>
      <c r="D60" s="6" t="s">
        <v>194</v>
      </c>
      <c r="E60" s="4" t="s">
        <v>616</v>
      </c>
      <c r="F60" s="6" t="s">
        <v>40</v>
      </c>
      <c r="G60" s="4" t="s">
        <v>851</v>
      </c>
      <c r="H60" s="4" t="s">
        <v>852</v>
      </c>
    </row>
    <row r="61" spans="1:8" x14ac:dyDescent="0.3">
      <c r="A61" s="6" t="s">
        <v>49</v>
      </c>
      <c r="B61" s="4" t="s">
        <v>849</v>
      </c>
      <c r="C61" s="4" t="s">
        <v>853</v>
      </c>
      <c r="D61" s="6" t="s">
        <v>854</v>
      </c>
      <c r="E61" s="4" t="s">
        <v>616</v>
      </c>
      <c r="F61" s="6" t="s">
        <v>40</v>
      </c>
      <c r="G61" s="4" t="s">
        <v>855</v>
      </c>
      <c r="H61" s="4" t="s">
        <v>856</v>
      </c>
    </row>
    <row r="62" spans="1:8" x14ac:dyDescent="0.3">
      <c r="A62" s="6" t="s">
        <v>49</v>
      </c>
      <c r="B62" s="4" t="s">
        <v>849</v>
      </c>
      <c r="C62" s="4" t="s">
        <v>857</v>
      </c>
      <c r="D62" s="6" t="s">
        <v>858</v>
      </c>
      <c r="E62" s="4" t="s">
        <v>741</v>
      </c>
      <c r="F62" s="6" t="s">
        <v>40</v>
      </c>
      <c r="G62" s="4" t="s">
        <v>859</v>
      </c>
      <c r="H62" s="4" t="s">
        <v>860</v>
      </c>
    </row>
    <row r="63" spans="1:8" x14ac:dyDescent="0.3">
      <c r="A63" s="6" t="s">
        <v>49</v>
      </c>
      <c r="B63" s="4" t="s">
        <v>861</v>
      </c>
      <c r="C63" s="4" t="s">
        <v>862</v>
      </c>
      <c r="D63" s="6" t="s">
        <v>863</v>
      </c>
      <c r="E63" s="4" t="s">
        <v>864</v>
      </c>
      <c r="F63" s="6" t="s">
        <v>40</v>
      </c>
      <c r="G63" s="4" t="s">
        <v>865</v>
      </c>
      <c r="H63" s="4" t="s">
        <v>866</v>
      </c>
    </row>
    <row r="64" spans="1:8" ht="25.5" x14ac:dyDescent="0.3">
      <c r="A64" s="6" t="s">
        <v>49</v>
      </c>
      <c r="B64" s="4" t="s">
        <v>861</v>
      </c>
      <c r="C64" s="4" t="s">
        <v>867</v>
      </c>
      <c r="D64" s="6" t="s">
        <v>868</v>
      </c>
      <c r="E64" s="4" t="s">
        <v>869</v>
      </c>
      <c r="F64" s="6" t="s">
        <v>40</v>
      </c>
      <c r="G64" s="4" t="s">
        <v>870</v>
      </c>
      <c r="H64" s="4" t="s">
        <v>871</v>
      </c>
    </row>
    <row r="65" spans="1:8" ht="25.5" x14ac:dyDescent="0.3">
      <c r="A65" s="6" t="s">
        <v>49</v>
      </c>
      <c r="B65" s="4" t="s">
        <v>872</v>
      </c>
      <c r="C65" s="4" t="s">
        <v>873</v>
      </c>
      <c r="D65" s="6" t="s">
        <v>874</v>
      </c>
      <c r="E65" s="4" t="s">
        <v>875</v>
      </c>
      <c r="F65" s="6" t="s">
        <v>40</v>
      </c>
      <c r="G65" s="4" t="s">
        <v>876</v>
      </c>
      <c r="H65" s="4" t="s">
        <v>877</v>
      </c>
    </row>
    <row r="66" spans="1:8" x14ac:dyDescent="0.3">
      <c r="A66" s="6" t="s">
        <v>49</v>
      </c>
      <c r="B66" s="4" t="s">
        <v>878</v>
      </c>
      <c r="C66" s="4" t="s">
        <v>879</v>
      </c>
      <c r="D66" s="6" t="s">
        <v>237</v>
      </c>
      <c r="E66" s="4" t="s">
        <v>724</v>
      </c>
      <c r="F66" s="6" t="s">
        <v>40</v>
      </c>
      <c r="G66" s="4" t="s">
        <v>880</v>
      </c>
      <c r="H66" s="4" t="s">
        <v>839</v>
      </c>
    </row>
    <row r="67" spans="1:8" x14ac:dyDescent="0.3">
      <c r="A67" s="6" t="s">
        <v>49</v>
      </c>
      <c r="B67" s="4" t="s">
        <v>881</v>
      </c>
      <c r="C67" s="4" t="s">
        <v>882</v>
      </c>
      <c r="D67" s="6" t="s">
        <v>412</v>
      </c>
      <c r="E67" s="4" t="s">
        <v>616</v>
      </c>
      <c r="F67" s="6" t="s">
        <v>40</v>
      </c>
      <c r="G67" s="4" t="s">
        <v>883</v>
      </c>
      <c r="H67" s="4" t="s">
        <v>884</v>
      </c>
    </row>
    <row r="68" spans="1:8" ht="25.5" x14ac:dyDescent="0.3">
      <c r="A68" s="6" t="s">
        <v>49</v>
      </c>
      <c r="B68" s="4" t="s">
        <v>878</v>
      </c>
      <c r="C68" s="4" t="s">
        <v>885</v>
      </c>
      <c r="D68" s="6" t="s">
        <v>886</v>
      </c>
      <c r="E68" s="4" t="s">
        <v>887</v>
      </c>
      <c r="F68" s="6" t="s">
        <v>40</v>
      </c>
      <c r="G68" s="4" t="s">
        <v>888</v>
      </c>
      <c r="H68" s="4" t="s">
        <v>889</v>
      </c>
    </row>
    <row r="69" spans="1:8" x14ac:dyDescent="0.3">
      <c r="A69" s="6" t="s">
        <v>49</v>
      </c>
      <c r="B69" s="4" t="s">
        <v>878</v>
      </c>
      <c r="C69" s="4" t="s">
        <v>890</v>
      </c>
      <c r="D69" s="6" t="s">
        <v>891</v>
      </c>
      <c r="E69" s="4" t="s">
        <v>892</v>
      </c>
      <c r="F69" s="6" t="s">
        <v>40</v>
      </c>
      <c r="G69" s="4" t="s">
        <v>893</v>
      </c>
      <c r="H69" s="4" t="s">
        <v>894</v>
      </c>
    </row>
    <row r="70" spans="1:8" x14ac:dyDescent="0.3">
      <c r="A70" s="6" t="s">
        <v>49</v>
      </c>
      <c r="B70" s="4" t="s">
        <v>895</v>
      </c>
      <c r="C70" s="4" t="s">
        <v>896</v>
      </c>
      <c r="D70" s="6" t="s">
        <v>897</v>
      </c>
      <c r="E70" s="4" t="s">
        <v>741</v>
      </c>
      <c r="F70" s="6" t="s">
        <v>40</v>
      </c>
      <c r="G70" s="4" t="s">
        <v>898</v>
      </c>
      <c r="H70" s="4" t="s">
        <v>899</v>
      </c>
    </row>
    <row r="71" spans="1:8" x14ac:dyDescent="0.3">
      <c r="A71" s="6" t="s">
        <v>49</v>
      </c>
      <c r="B71" s="4" t="s">
        <v>125</v>
      </c>
      <c r="C71" s="4" t="s">
        <v>900</v>
      </c>
      <c r="D71" s="6" t="s">
        <v>127</v>
      </c>
      <c r="E71" s="4" t="s">
        <v>901</v>
      </c>
      <c r="F71" s="6" t="s">
        <v>40</v>
      </c>
      <c r="G71" s="4" t="s">
        <v>902</v>
      </c>
      <c r="H71" s="4" t="s">
        <v>903</v>
      </c>
    </row>
    <row r="72" spans="1:8" x14ac:dyDescent="0.3">
      <c r="A72" s="6" t="s">
        <v>49</v>
      </c>
      <c r="B72" s="4" t="s">
        <v>904</v>
      </c>
      <c r="C72" s="4" t="s">
        <v>905</v>
      </c>
      <c r="D72" s="6" t="s">
        <v>906</v>
      </c>
      <c r="E72" s="4" t="s">
        <v>616</v>
      </c>
      <c r="F72" s="6" t="s">
        <v>40</v>
      </c>
      <c r="G72" s="4" t="s">
        <v>907</v>
      </c>
      <c r="H72" s="4" t="s">
        <v>908</v>
      </c>
    </row>
    <row r="73" spans="1:8" ht="25.5" x14ac:dyDescent="0.3">
      <c r="A73" s="6" t="s">
        <v>49</v>
      </c>
      <c r="B73" s="4" t="s">
        <v>909</v>
      </c>
      <c r="C73" s="4" t="s">
        <v>910</v>
      </c>
      <c r="D73" s="6" t="s">
        <v>911</v>
      </c>
      <c r="E73" s="4" t="s">
        <v>912</v>
      </c>
      <c r="F73" s="6" t="s">
        <v>40</v>
      </c>
      <c r="G73" s="4" t="s">
        <v>913</v>
      </c>
      <c r="H73" s="4" t="s">
        <v>914</v>
      </c>
    </row>
    <row r="74" spans="1:8" x14ac:dyDescent="0.3">
      <c r="A74" s="6" t="s">
        <v>49</v>
      </c>
      <c r="B74" s="4" t="s">
        <v>915</v>
      </c>
      <c r="C74" s="4" t="s">
        <v>916</v>
      </c>
      <c r="D74" s="6" t="s">
        <v>917</v>
      </c>
      <c r="E74" s="4" t="s">
        <v>637</v>
      </c>
      <c r="F74" s="6" t="s">
        <v>40</v>
      </c>
      <c r="G74" s="4" t="s">
        <v>918</v>
      </c>
      <c r="H74" s="4" t="s">
        <v>919</v>
      </c>
    </row>
    <row r="75" spans="1:8" x14ac:dyDescent="0.3">
      <c r="A75" s="6" t="s">
        <v>49</v>
      </c>
      <c r="B75" s="4" t="s">
        <v>601</v>
      </c>
      <c r="C75" s="4" t="s">
        <v>920</v>
      </c>
      <c r="D75" s="6" t="s">
        <v>921</v>
      </c>
      <c r="E75" s="4" t="s">
        <v>922</v>
      </c>
      <c r="F75" s="6" t="s">
        <v>41</v>
      </c>
      <c r="G75" s="4" t="s">
        <v>923</v>
      </c>
      <c r="H75" s="4" t="s">
        <v>924</v>
      </c>
    </row>
    <row r="76" spans="1:8" x14ac:dyDescent="0.3">
      <c r="A76" s="6" t="s">
        <v>49</v>
      </c>
      <c r="B76" s="4" t="s">
        <v>601</v>
      </c>
      <c r="C76" s="4" t="s">
        <v>925</v>
      </c>
      <c r="D76" s="6" t="s">
        <v>926</v>
      </c>
      <c r="E76" s="4" t="s">
        <v>927</v>
      </c>
      <c r="F76" s="6" t="s">
        <v>41</v>
      </c>
      <c r="G76" s="4" t="s">
        <v>928</v>
      </c>
      <c r="H76" s="4" t="s">
        <v>929</v>
      </c>
    </row>
    <row r="77" spans="1:8" x14ac:dyDescent="0.3">
      <c r="A77" s="6" t="s">
        <v>49</v>
      </c>
      <c r="B77" s="4" t="s">
        <v>824</v>
      </c>
      <c r="C77" s="4" t="s">
        <v>930</v>
      </c>
      <c r="D77" s="6" t="s">
        <v>931</v>
      </c>
      <c r="E77" s="4" t="s">
        <v>616</v>
      </c>
      <c r="F77" s="6" t="s">
        <v>41</v>
      </c>
      <c r="G77" s="4" t="s">
        <v>932</v>
      </c>
      <c r="H77" s="4" t="s">
        <v>933</v>
      </c>
    </row>
    <row r="78" spans="1:8" x14ac:dyDescent="0.3">
      <c r="A78" s="6" t="s">
        <v>49</v>
      </c>
      <c r="B78" s="4" t="s">
        <v>840</v>
      </c>
      <c r="C78" s="4" t="s">
        <v>934</v>
      </c>
      <c r="D78" s="6" t="s">
        <v>935</v>
      </c>
      <c r="E78" s="4" t="s">
        <v>616</v>
      </c>
      <c r="F78" s="6" t="s">
        <v>41</v>
      </c>
      <c r="G78" s="4" t="s">
        <v>936</v>
      </c>
      <c r="H78" s="4" t="s">
        <v>937</v>
      </c>
    </row>
    <row r="79" spans="1:8" x14ac:dyDescent="0.3">
      <c r="A79" s="6" t="s">
        <v>49</v>
      </c>
      <c r="B79" s="4" t="s">
        <v>938</v>
      </c>
      <c r="C79" s="4" t="s">
        <v>939</v>
      </c>
      <c r="D79" s="6" t="s">
        <v>940</v>
      </c>
      <c r="E79" s="4" t="s">
        <v>637</v>
      </c>
      <c r="F79" s="6" t="s">
        <v>41</v>
      </c>
      <c r="G79" s="4" t="s">
        <v>941</v>
      </c>
      <c r="H79" s="4" t="s">
        <v>942</v>
      </c>
    </row>
    <row r="80" spans="1:8" x14ac:dyDescent="0.3">
      <c r="A80" s="6" t="s">
        <v>49</v>
      </c>
      <c r="B80" s="4" t="s">
        <v>840</v>
      </c>
      <c r="C80" s="4" t="s">
        <v>943</v>
      </c>
      <c r="D80" s="6" t="s">
        <v>944</v>
      </c>
      <c r="E80" s="4" t="s">
        <v>741</v>
      </c>
      <c r="F80" s="6" t="s">
        <v>41</v>
      </c>
      <c r="G80" s="4" t="s">
        <v>945</v>
      </c>
      <c r="H80" s="4" t="s">
        <v>946</v>
      </c>
    </row>
    <row r="81" spans="1:8" ht="25.5" x14ac:dyDescent="0.3">
      <c r="A81" s="6" t="s">
        <v>49</v>
      </c>
      <c r="B81" s="4" t="s">
        <v>947</v>
      </c>
      <c r="C81" s="4" t="s">
        <v>948</v>
      </c>
      <c r="D81" s="6" t="s">
        <v>949</v>
      </c>
      <c r="E81" s="4" t="s">
        <v>950</v>
      </c>
      <c r="F81" s="6" t="s">
        <v>41</v>
      </c>
      <c r="G81" s="4" t="s">
        <v>951</v>
      </c>
      <c r="H81" s="4" t="s">
        <v>952</v>
      </c>
    </row>
    <row r="82" spans="1:8" x14ac:dyDescent="0.3">
      <c r="A82" s="6" t="s">
        <v>49</v>
      </c>
      <c r="B82" s="4" t="s">
        <v>849</v>
      </c>
      <c r="C82" s="4" t="s">
        <v>953</v>
      </c>
      <c r="D82" s="6" t="s">
        <v>675</v>
      </c>
      <c r="E82" s="4" t="s">
        <v>637</v>
      </c>
      <c r="F82" s="6" t="s">
        <v>41</v>
      </c>
      <c r="G82" s="4" t="s">
        <v>954</v>
      </c>
      <c r="H82" s="4" t="s">
        <v>878</v>
      </c>
    </row>
    <row r="83" spans="1:8" x14ac:dyDescent="0.3">
      <c r="A83" s="6" t="s">
        <v>49</v>
      </c>
      <c r="B83" s="4" t="s">
        <v>849</v>
      </c>
      <c r="C83" s="4" t="s">
        <v>955</v>
      </c>
      <c r="D83" s="6" t="s">
        <v>956</v>
      </c>
      <c r="E83" s="4" t="s">
        <v>957</v>
      </c>
      <c r="F83" s="6" t="s">
        <v>41</v>
      </c>
      <c r="G83" s="4" t="s">
        <v>958</v>
      </c>
      <c r="H83" s="4" t="s">
        <v>878</v>
      </c>
    </row>
    <row r="84" spans="1:8" x14ac:dyDescent="0.3">
      <c r="A84" s="6" t="s">
        <v>49</v>
      </c>
      <c r="B84" s="4" t="s">
        <v>861</v>
      </c>
      <c r="C84" s="4" t="s">
        <v>959</v>
      </c>
      <c r="D84" s="6" t="s">
        <v>83</v>
      </c>
      <c r="E84" s="4" t="s">
        <v>741</v>
      </c>
      <c r="F84" s="6" t="s">
        <v>41</v>
      </c>
      <c r="G84" s="4" t="s">
        <v>960</v>
      </c>
      <c r="H84" s="4" t="s">
        <v>961</v>
      </c>
    </row>
    <row r="85" spans="1:8" x14ac:dyDescent="0.3">
      <c r="A85" s="6" t="s">
        <v>49</v>
      </c>
      <c r="B85" s="4" t="s">
        <v>457</v>
      </c>
      <c r="C85" s="4" t="s">
        <v>962</v>
      </c>
      <c r="D85" s="6" t="s">
        <v>963</v>
      </c>
      <c r="E85" s="4" t="s">
        <v>964</v>
      </c>
      <c r="F85" s="6" t="s">
        <v>41</v>
      </c>
      <c r="G85" s="4" t="s">
        <v>965</v>
      </c>
      <c r="H85" s="4" t="s">
        <v>966</v>
      </c>
    </row>
    <row r="86" spans="1:8" x14ac:dyDescent="0.3">
      <c r="A86" s="6" t="s">
        <v>49</v>
      </c>
      <c r="B86" s="4" t="s">
        <v>967</v>
      </c>
      <c r="C86" s="4" t="s">
        <v>968</v>
      </c>
      <c r="D86" s="6" t="s">
        <v>969</v>
      </c>
      <c r="E86" s="4" t="s">
        <v>970</v>
      </c>
      <c r="F86" s="6" t="s">
        <v>41</v>
      </c>
      <c r="G86" s="4" t="s">
        <v>971</v>
      </c>
      <c r="H86" s="4" t="s">
        <v>972</v>
      </c>
    </row>
    <row r="87" spans="1:8" x14ac:dyDescent="0.3">
      <c r="A87" s="6" t="s">
        <v>49</v>
      </c>
      <c r="B87" s="4" t="s">
        <v>973</v>
      </c>
      <c r="C87" s="4" t="s">
        <v>974</v>
      </c>
      <c r="D87" s="6" t="s">
        <v>975</v>
      </c>
      <c r="E87" s="4" t="s">
        <v>976</v>
      </c>
      <c r="F87" s="6" t="s">
        <v>41</v>
      </c>
      <c r="G87" s="4" t="s">
        <v>977</v>
      </c>
      <c r="H87" s="4" t="s">
        <v>978</v>
      </c>
    </row>
    <row r="88" spans="1:8" ht="38.25" x14ac:dyDescent="0.3">
      <c r="A88" s="6" t="s">
        <v>49</v>
      </c>
      <c r="B88" s="4" t="s">
        <v>601</v>
      </c>
      <c r="C88" s="4" t="s">
        <v>979</v>
      </c>
      <c r="D88" s="6" t="s">
        <v>980</v>
      </c>
      <c r="E88" s="4" t="s">
        <v>981</v>
      </c>
      <c r="F88" s="6" t="s">
        <v>42</v>
      </c>
      <c r="G88" s="4" t="s">
        <v>982</v>
      </c>
      <c r="H88" s="4" t="s">
        <v>983</v>
      </c>
    </row>
    <row r="89" spans="1:8" x14ac:dyDescent="0.3">
      <c r="A89" s="6" t="s">
        <v>49</v>
      </c>
      <c r="B89" s="4" t="s">
        <v>601</v>
      </c>
      <c r="C89" s="4" t="s">
        <v>984</v>
      </c>
      <c r="D89" s="6" t="s">
        <v>302</v>
      </c>
      <c r="E89" s="4" t="s">
        <v>985</v>
      </c>
      <c r="F89" s="6" t="s">
        <v>42</v>
      </c>
      <c r="G89" s="4" t="s">
        <v>986</v>
      </c>
      <c r="H89" s="4" t="s">
        <v>987</v>
      </c>
    </row>
    <row r="90" spans="1:8" x14ac:dyDescent="0.3">
      <c r="A90" s="6" t="s">
        <v>49</v>
      </c>
      <c r="B90" s="4" t="s">
        <v>824</v>
      </c>
      <c r="C90" s="4" t="s">
        <v>988</v>
      </c>
      <c r="D90" s="6" t="s">
        <v>989</v>
      </c>
      <c r="E90" s="4" t="s">
        <v>990</v>
      </c>
      <c r="F90" s="6" t="s">
        <v>42</v>
      </c>
      <c r="G90" s="4" t="s">
        <v>991</v>
      </c>
      <c r="H90" s="4" t="s">
        <v>992</v>
      </c>
    </row>
    <row r="91" spans="1:8" x14ac:dyDescent="0.3">
      <c r="A91" s="6" t="s">
        <v>49</v>
      </c>
      <c r="B91" s="4" t="s">
        <v>824</v>
      </c>
      <c r="C91" s="4" t="s">
        <v>993</v>
      </c>
      <c r="D91" s="6" t="s">
        <v>994</v>
      </c>
      <c r="E91" s="4" t="s">
        <v>637</v>
      </c>
      <c r="F91" s="6" t="s">
        <v>42</v>
      </c>
      <c r="G91" s="4" t="s">
        <v>995</v>
      </c>
      <c r="H91" s="4" t="s">
        <v>996</v>
      </c>
    </row>
    <row r="92" spans="1:8" ht="25.5" x14ac:dyDescent="0.3">
      <c r="A92" s="6" t="s">
        <v>51</v>
      </c>
      <c r="B92" s="4" t="s">
        <v>997</v>
      </c>
      <c r="C92" s="4" t="s">
        <v>998</v>
      </c>
      <c r="D92" s="6" t="s">
        <v>675</v>
      </c>
      <c r="E92" s="4" t="s">
        <v>999</v>
      </c>
      <c r="F92" s="6" t="s">
        <v>40</v>
      </c>
      <c r="G92" s="4" t="s">
        <v>1000</v>
      </c>
      <c r="H92" s="4" t="s">
        <v>1001</v>
      </c>
    </row>
    <row r="93" spans="1:8" ht="25.5" x14ac:dyDescent="0.3">
      <c r="A93" s="6" t="s">
        <v>51</v>
      </c>
      <c r="B93" s="4" t="s">
        <v>1002</v>
      </c>
      <c r="C93" s="4" t="s">
        <v>1003</v>
      </c>
      <c r="D93" s="6" t="s">
        <v>785</v>
      </c>
      <c r="E93" s="4" t="s">
        <v>398</v>
      </c>
      <c r="F93" s="6" t="s">
        <v>40</v>
      </c>
      <c r="G93" s="4" t="s">
        <v>1004</v>
      </c>
      <c r="H93" s="4" t="s">
        <v>1005</v>
      </c>
    </row>
    <row r="94" spans="1:8" ht="25.5" x14ac:dyDescent="0.3">
      <c r="A94" s="6" t="s">
        <v>51</v>
      </c>
      <c r="B94" s="4" t="s">
        <v>1002</v>
      </c>
      <c r="C94" s="4" t="s">
        <v>1006</v>
      </c>
      <c r="D94" s="6" t="s">
        <v>448</v>
      </c>
      <c r="E94" s="4" t="s">
        <v>1007</v>
      </c>
      <c r="F94" s="6" t="s">
        <v>40</v>
      </c>
      <c r="G94" s="4" t="s">
        <v>1008</v>
      </c>
      <c r="H94" s="4" t="s">
        <v>1005</v>
      </c>
    </row>
    <row r="95" spans="1:8" ht="25.5" x14ac:dyDescent="0.3">
      <c r="A95" s="6" t="s">
        <v>51</v>
      </c>
      <c r="B95" s="4" t="s">
        <v>1002</v>
      </c>
      <c r="C95" s="4" t="s">
        <v>1009</v>
      </c>
      <c r="D95" s="6" t="s">
        <v>1010</v>
      </c>
      <c r="E95" s="4" t="s">
        <v>398</v>
      </c>
      <c r="F95" s="6" t="s">
        <v>40</v>
      </c>
      <c r="G95" s="4" t="s">
        <v>1011</v>
      </c>
      <c r="H95" s="4" t="s">
        <v>1012</v>
      </c>
    </row>
    <row r="96" spans="1:8" ht="25.5" x14ac:dyDescent="0.3">
      <c r="A96" s="6" t="s">
        <v>51</v>
      </c>
      <c r="B96" s="4" t="s">
        <v>997</v>
      </c>
      <c r="C96" s="4" t="s">
        <v>1013</v>
      </c>
      <c r="D96" s="6" t="s">
        <v>675</v>
      </c>
      <c r="E96" s="4" t="s">
        <v>1014</v>
      </c>
      <c r="F96" s="6" t="s">
        <v>40</v>
      </c>
      <c r="G96" s="4" t="s">
        <v>1015</v>
      </c>
      <c r="H96" s="4" t="s">
        <v>1016</v>
      </c>
    </row>
    <row r="97" spans="1:8" ht="25.5" x14ac:dyDescent="0.3">
      <c r="A97" s="6" t="s">
        <v>51</v>
      </c>
      <c r="B97" s="4" t="s">
        <v>997</v>
      </c>
      <c r="C97" s="4" t="s">
        <v>1017</v>
      </c>
      <c r="D97" s="6" t="s">
        <v>194</v>
      </c>
      <c r="E97" s="4" t="s">
        <v>999</v>
      </c>
      <c r="F97" s="6" t="s">
        <v>41</v>
      </c>
      <c r="G97" s="4" t="s">
        <v>1018</v>
      </c>
      <c r="H97" s="4" t="s">
        <v>1019</v>
      </c>
    </row>
    <row r="98" spans="1:8" ht="25.5" x14ac:dyDescent="0.3">
      <c r="A98" s="6" t="s">
        <v>52</v>
      </c>
      <c r="B98" s="4" t="s">
        <v>1020</v>
      </c>
      <c r="C98" s="4" t="s">
        <v>1021</v>
      </c>
      <c r="D98" s="6" t="s">
        <v>194</v>
      </c>
      <c r="E98" s="4" t="s">
        <v>398</v>
      </c>
      <c r="F98" s="6" t="s">
        <v>40</v>
      </c>
      <c r="G98" s="4" t="s">
        <v>1022</v>
      </c>
      <c r="H98" s="4" t="s">
        <v>1023</v>
      </c>
    </row>
    <row r="99" spans="1:8" ht="25.5" x14ac:dyDescent="0.3">
      <c r="A99" s="6" t="s">
        <v>52</v>
      </c>
      <c r="B99" s="4" t="s">
        <v>1020</v>
      </c>
      <c r="C99" s="4" t="s">
        <v>1024</v>
      </c>
      <c r="D99" s="6" t="s">
        <v>194</v>
      </c>
      <c r="E99" s="4" t="s">
        <v>398</v>
      </c>
      <c r="F99" s="6" t="s">
        <v>40</v>
      </c>
      <c r="G99" s="4" t="s">
        <v>1025</v>
      </c>
      <c r="H99" s="4" t="s">
        <v>1026</v>
      </c>
    </row>
    <row r="100" spans="1:8" ht="25.5" x14ac:dyDescent="0.3">
      <c r="A100" s="6" t="s">
        <v>52</v>
      </c>
      <c r="B100" s="4" t="s">
        <v>1020</v>
      </c>
      <c r="C100" s="4" t="s">
        <v>1027</v>
      </c>
      <c r="D100" s="6" t="s">
        <v>194</v>
      </c>
      <c r="E100" s="4" t="s">
        <v>398</v>
      </c>
      <c r="F100" s="6" t="s">
        <v>40</v>
      </c>
      <c r="G100" s="4" t="s">
        <v>1028</v>
      </c>
      <c r="H100" s="4" t="s">
        <v>1029</v>
      </c>
    </row>
    <row r="101" spans="1:8" ht="25.5" x14ac:dyDescent="0.3">
      <c r="A101" s="6" t="s">
        <v>52</v>
      </c>
      <c r="B101" s="4" t="s">
        <v>1020</v>
      </c>
      <c r="C101" s="4" t="s">
        <v>1030</v>
      </c>
      <c r="D101" s="6" t="s">
        <v>194</v>
      </c>
      <c r="E101" s="4" t="s">
        <v>398</v>
      </c>
      <c r="F101" s="6" t="s">
        <v>40</v>
      </c>
      <c r="G101" s="4" t="s">
        <v>1031</v>
      </c>
      <c r="H101" s="4" t="s">
        <v>1032</v>
      </c>
    </row>
    <row r="102" spans="1:8" ht="25.5" x14ac:dyDescent="0.3">
      <c r="A102" s="6" t="s">
        <v>52</v>
      </c>
      <c r="B102" s="4" t="s">
        <v>1020</v>
      </c>
      <c r="C102" s="4" t="s">
        <v>1033</v>
      </c>
      <c r="D102" s="6" t="s">
        <v>1034</v>
      </c>
      <c r="E102" s="4" t="s">
        <v>398</v>
      </c>
      <c r="F102" s="6" t="s">
        <v>40</v>
      </c>
      <c r="G102" s="4" t="s">
        <v>1035</v>
      </c>
      <c r="H102" s="4" t="s">
        <v>1036</v>
      </c>
    </row>
    <row r="103" spans="1:8" ht="25.5" x14ac:dyDescent="0.3">
      <c r="A103" s="6" t="s">
        <v>52</v>
      </c>
      <c r="B103" s="4" t="s">
        <v>1020</v>
      </c>
      <c r="C103" s="4" t="s">
        <v>1037</v>
      </c>
      <c r="D103" s="6" t="s">
        <v>1034</v>
      </c>
      <c r="E103" s="4" t="s">
        <v>398</v>
      </c>
      <c r="F103" s="6" t="s">
        <v>40</v>
      </c>
      <c r="G103" s="4" t="s">
        <v>1038</v>
      </c>
      <c r="H103" s="4" t="s">
        <v>1039</v>
      </c>
    </row>
    <row r="104" spans="1:8" ht="25.5" x14ac:dyDescent="0.3">
      <c r="A104" s="6" t="s">
        <v>52</v>
      </c>
      <c r="B104" s="4" t="s">
        <v>1020</v>
      </c>
      <c r="C104" s="4" t="s">
        <v>1040</v>
      </c>
      <c r="D104" s="6" t="s">
        <v>847</v>
      </c>
      <c r="E104" s="4" t="s">
        <v>398</v>
      </c>
      <c r="F104" s="6" t="s">
        <v>41</v>
      </c>
      <c r="G104" s="4" t="s">
        <v>1041</v>
      </c>
      <c r="H104" s="4" t="s">
        <v>1042</v>
      </c>
    </row>
    <row r="105" spans="1:8" ht="25.5" x14ac:dyDescent="0.3">
      <c r="A105" s="6" t="s">
        <v>52</v>
      </c>
      <c r="B105" s="4" t="s">
        <v>1020</v>
      </c>
      <c r="C105" s="4" t="s">
        <v>1043</v>
      </c>
      <c r="D105" s="6" t="s">
        <v>847</v>
      </c>
      <c r="E105" s="4" t="s">
        <v>398</v>
      </c>
      <c r="F105" s="6" t="s">
        <v>41</v>
      </c>
      <c r="G105" s="4" t="s">
        <v>1044</v>
      </c>
      <c r="H105" s="4" t="s">
        <v>1045</v>
      </c>
    </row>
    <row r="106" spans="1:8" ht="25.5" x14ac:dyDescent="0.3">
      <c r="A106" s="6" t="s">
        <v>52</v>
      </c>
      <c r="B106" s="4" t="s">
        <v>1020</v>
      </c>
      <c r="C106" s="4" t="s">
        <v>1046</v>
      </c>
      <c r="D106" s="6" t="s">
        <v>412</v>
      </c>
      <c r="E106" s="4" t="s">
        <v>398</v>
      </c>
      <c r="F106" s="6" t="s">
        <v>41</v>
      </c>
      <c r="G106" s="4" t="s">
        <v>1047</v>
      </c>
      <c r="H106" s="4" t="s">
        <v>1048</v>
      </c>
    </row>
    <row r="107" spans="1:8" ht="25.5" x14ac:dyDescent="0.3">
      <c r="A107" s="6" t="s">
        <v>52</v>
      </c>
      <c r="B107" s="4" t="s">
        <v>1020</v>
      </c>
      <c r="C107" s="4" t="s">
        <v>1049</v>
      </c>
      <c r="D107" s="6" t="s">
        <v>127</v>
      </c>
      <c r="E107" s="4" t="s">
        <v>1007</v>
      </c>
      <c r="F107" s="6" t="s">
        <v>41</v>
      </c>
      <c r="G107" s="4" t="s">
        <v>1050</v>
      </c>
      <c r="H107" s="4" t="s">
        <v>1048</v>
      </c>
    </row>
    <row r="108" spans="1:8" ht="25.5" x14ac:dyDescent="0.3">
      <c r="A108" s="6" t="s">
        <v>53</v>
      </c>
      <c r="B108" s="4" t="s">
        <v>1051</v>
      </c>
      <c r="C108" s="4" t="s">
        <v>1052</v>
      </c>
      <c r="D108" s="6" t="s">
        <v>1034</v>
      </c>
      <c r="E108" s="4" t="s">
        <v>1007</v>
      </c>
      <c r="F108" s="6" t="s">
        <v>40</v>
      </c>
      <c r="G108" s="4" t="s">
        <v>1053</v>
      </c>
      <c r="H108" s="4" t="s">
        <v>1054</v>
      </c>
    </row>
    <row r="109" spans="1:8" ht="25.5" x14ac:dyDescent="0.3">
      <c r="A109" s="6" t="s">
        <v>53</v>
      </c>
      <c r="B109" s="4" t="s">
        <v>1051</v>
      </c>
      <c r="C109" s="4" t="s">
        <v>1055</v>
      </c>
      <c r="D109" s="6" t="s">
        <v>1034</v>
      </c>
      <c r="E109" s="4" t="s">
        <v>1007</v>
      </c>
      <c r="F109" s="6" t="s">
        <v>40</v>
      </c>
      <c r="G109" s="4" t="s">
        <v>1056</v>
      </c>
      <c r="H109" s="4" t="s">
        <v>1057</v>
      </c>
    </row>
    <row r="110" spans="1:8" ht="38.25" x14ac:dyDescent="0.3">
      <c r="A110" s="6" t="s">
        <v>53</v>
      </c>
      <c r="B110" s="4" t="s">
        <v>1020</v>
      </c>
      <c r="C110" s="4" t="s">
        <v>1058</v>
      </c>
      <c r="D110" s="6" t="s">
        <v>464</v>
      </c>
      <c r="E110" s="4" t="s">
        <v>999</v>
      </c>
      <c r="F110" s="6" t="s">
        <v>40</v>
      </c>
      <c r="G110" s="4" t="s">
        <v>1059</v>
      </c>
      <c r="H110" s="4" t="s">
        <v>1060</v>
      </c>
    </row>
    <row r="111" spans="1:8" ht="38.25" x14ac:dyDescent="0.3">
      <c r="A111" s="6" t="s">
        <v>53</v>
      </c>
      <c r="B111" s="4" t="s">
        <v>1061</v>
      </c>
      <c r="C111" s="4" t="s">
        <v>1062</v>
      </c>
      <c r="D111" s="6" t="s">
        <v>675</v>
      </c>
      <c r="E111" s="4" t="s">
        <v>1007</v>
      </c>
      <c r="F111" s="6" t="s">
        <v>40</v>
      </c>
      <c r="G111" s="4" t="s">
        <v>1063</v>
      </c>
      <c r="H111" s="4" t="s">
        <v>1064</v>
      </c>
    </row>
    <row r="112" spans="1:8" ht="25.5" x14ac:dyDescent="0.3">
      <c r="A112" s="6" t="s">
        <v>53</v>
      </c>
      <c r="B112" s="4" t="s">
        <v>1061</v>
      </c>
      <c r="C112" s="4" t="s">
        <v>1065</v>
      </c>
      <c r="D112" s="6" t="s">
        <v>1066</v>
      </c>
      <c r="E112" s="4" t="s">
        <v>398</v>
      </c>
      <c r="F112" s="6" t="s">
        <v>40</v>
      </c>
      <c r="G112" s="4" t="s">
        <v>1067</v>
      </c>
      <c r="H112" s="4" t="s">
        <v>1068</v>
      </c>
    </row>
    <row r="113" spans="1:8" ht="25.5" x14ac:dyDescent="0.3">
      <c r="A113" s="6" t="s">
        <v>53</v>
      </c>
      <c r="B113" s="4" t="s">
        <v>1051</v>
      </c>
      <c r="C113" s="4" t="s">
        <v>1069</v>
      </c>
      <c r="D113" s="6" t="s">
        <v>1034</v>
      </c>
      <c r="E113" s="4" t="s">
        <v>1007</v>
      </c>
      <c r="F113" s="6" t="s">
        <v>40</v>
      </c>
      <c r="G113" s="4" t="s">
        <v>1070</v>
      </c>
      <c r="H113" s="4" t="s">
        <v>1071</v>
      </c>
    </row>
    <row r="114" spans="1:8" ht="25.5" x14ac:dyDescent="0.3">
      <c r="A114" s="6" t="s">
        <v>53</v>
      </c>
      <c r="B114" s="4" t="s">
        <v>1051</v>
      </c>
      <c r="C114" s="4" t="s">
        <v>1072</v>
      </c>
      <c r="D114" s="6" t="s">
        <v>1034</v>
      </c>
      <c r="E114" s="4" t="s">
        <v>1007</v>
      </c>
      <c r="F114" s="6" t="s">
        <v>40</v>
      </c>
      <c r="G114" s="4" t="s">
        <v>1073</v>
      </c>
      <c r="H114" s="4" t="s">
        <v>1074</v>
      </c>
    </row>
    <row r="115" spans="1:8" ht="25.5" x14ac:dyDescent="0.3">
      <c r="A115" s="6" t="s">
        <v>53</v>
      </c>
      <c r="B115" s="4" t="s">
        <v>1051</v>
      </c>
      <c r="C115" s="4" t="s">
        <v>1075</v>
      </c>
      <c r="D115" s="6" t="s">
        <v>1010</v>
      </c>
      <c r="E115" s="4" t="s">
        <v>1007</v>
      </c>
      <c r="F115" s="6" t="s">
        <v>40</v>
      </c>
      <c r="G115" s="4" t="s">
        <v>1076</v>
      </c>
      <c r="H115" s="4" t="s">
        <v>1077</v>
      </c>
    </row>
    <row r="116" spans="1:8" ht="25.5" x14ac:dyDescent="0.3">
      <c r="A116" s="6" t="s">
        <v>53</v>
      </c>
      <c r="B116" s="4" t="s">
        <v>1051</v>
      </c>
      <c r="C116" s="4" t="s">
        <v>1078</v>
      </c>
      <c r="D116" s="6" t="s">
        <v>1010</v>
      </c>
      <c r="E116" s="4" t="s">
        <v>1007</v>
      </c>
      <c r="F116" s="6" t="s">
        <v>40</v>
      </c>
      <c r="G116" s="4" t="s">
        <v>1079</v>
      </c>
      <c r="H116" s="4" t="s">
        <v>1080</v>
      </c>
    </row>
    <row r="117" spans="1:8" ht="25.5" x14ac:dyDescent="0.3">
      <c r="A117" s="6" t="s">
        <v>53</v>
      </c>
      <c r="B117" s="4" t="s">
        <v>1051</v>
      </c>
      <c r="C117" s="4" t="s">
        <v>1081</v>
      </c>
      <c r="D117" s="6" t="s">
        <v>1082</v>
      </c>
      <c r="E117" s="4" t="s">
        <v>1083</v>
      </c>
      <c r="F117" s="6" t="s">
        <v>41</v>
      </c>
      <c r="G117" s="4" t="s">
        <v>1084</v>
      </c>
      <c r="H117" s="4" t="s">
        <v>1085</v>
      </c>
    </row>
    <row r="118" spans="1:8" ht="25.5" x14ac:dyDescent="0.3">
      <c r="A118" s="6" t="s">
        <v>53</v>
      </c>
      <c r="B118" s="4" t="s">
        <v>1051</v>
      </c>
      <c r="C118" s="4" t="s">
        <v>1086</v>
      </c>
      <c r="D118" s="6" t="s">
        <v>1010</v>
      </c>
      <c r="E118" s="4" t="s">
        <v>1007</v>
      </c>
      <c r="F118" s="6" t="s">
        <v>41</v>
      </c>
      <c r="G118" s="4" t="s">
        <v>1087</v>
      </c>
      <c r="H118" s="4" t="s">
        <v>1088</v>
      </c>
    </row>
    <row r="119" spans="1:8" ht="25.5" x14ac:dyDescent="0.3">
      <c r="A119" s="6" t="s">
        <v>53</v>
      </c>
      <c r="B119" s="4" t="s">
        <v>1051</v>
      </c>
      <c r="C119" s="4" t="s">
        <v>1089</v>
      </c>
      <c r="D119" s="6" t="s">
        <v>412</v>
      </c>
      <c r="E119" s="4" t="s">
        <v>1007</v>
      </c>
      <c r="F119" s="6" t="s">
        <v>41</v>
      </c>
      <c r="G119" s="4" t="s">
        <v>1090</v>
      </c>
      <c r="H119" s="4" t="s">
        <v>1039</v>
      </c>
    </row>
    <row r="120" spans="1:8" ht="25.5" x14ac:dyDescent="0.3">
      <c r="A120" s="6" t="s">
        <v>54</v>
      </c>
      <c r="B120" s="4" t="s">
        <v>1091</v>
      </c>
      <c r="C120" s="4" t="s">
        <v>1092</v>
      </c>
      <c r="D120" s="6" t="s">
        <v>1010</v>
      </c>
      <c r="E120" s="4" t="s">
        <v>999</v>
      </c>
      <c r="F120" s="6" t="s">
        <v>40</v>
      </c>
      <c r="G120" s="4" t="s">
        <v>1093</v>
      </c>
      <c r="H120" s="4" t="s">
        <v>1094</v>
      </c>
    </row>
    <row r="121" spans="1:8" ht="25.5" x14ac:dyDescent="0.3">
      <c r="A121" s="6" t="s">
        <v>54</v>
      </c>
      <c r="B121" s="4" t="s">
        <v>1091</v>
      </c>
      <c r="C121" s="4" t="s">
        <v>1095</v>
      </c>
      <c r="D121" s="6" t="s">
        <v>1010</v>
      </c>
      <c r="E121" s="4" t="s">
        <v>1007</v>
      </c>
      <c r="F121" s="6" t="s">
        <v>40</v>
      </c>
      <c r="G121" s="4" t="s">
        <v>1096</v>
      </c>
      <c r="H121" s="4" t="s">
        <v>1094</v>
      </c>
    </row>
    <row r="122" spans="1:8" ht="25.5" x14ac:dyDescent="0.3">
      <c r="A122" s="6" t="s">
        <v>54</v>
      </c>
      <c r="B122" s="4" t="s">
        <v>1091</v>
      </c>
      <c r="C122" s="4" t="s">
        <v>1097</v>
      </c>
      <c r="D122" s="6" t="s">
        <v>194</v>
      </c>
      <c r="E122" s="4" t="s">
        <v>999</v>
      </c>
      <c r="F122" s="6" t="s">
        <v>41</v>
      </c>
      <c r="G122" s="4" t="s">
        <v>1098</v>
      </c>
      <c r="H122" s="4" t="s">
        <v>1099</v>
      </c>
    </row>
    <row r="123" spans="1:8" ht="25.5" x14ac:dyDescent="0.3">
      <c r="A123" s="6" t="s">
        <v>55</v>
      </c>
      <c r="B123" s="4" t="s">
        <v>1100</v>
      </c>
      <c r="C123" s="4" t="s">
        <v>1101</v>
      </c>
      <c r="D123" s="6" t="s">
        <v>785</v>
      </c>
      <c r="E123" s="4" t="s">
        <v>365</v>
      </c>
      <c r="F123" s="6" t="s">
        <v>40</v>
      </c>
      <c r="G123" s="4" t="s">
        <v>1102</v>
      </c>
      <c r="H123" s="4" t="s">
        <v>1103</v>
      </c>
    </row>
    <row r="124" spans="1:8" ht="25.5" x14ac:dyDescent="0.3">
      <c r="A124" s="6" t="s">
        <v>55</v>
      </c>
      <c r="B124" s="4" t="s">
        <v>1100</v>
      </c>
      <c r="C124" s="4" t="s">
        <v>1104</v>
      </c>
      <c r="D124" s="6" t="s">
        <v>448</v>
      </c>
      <c r="E124" s="4" t="s">
        <v>1007</v>
      </c>
      <c r="F124" s="6" t="s">
        <v>40</v>
      </c>
      <c r="G124" s="4" t="s">
        <v>1105</v>
      </c>
      <c r="H124" s="4" t="s">
        <v>1106</v>
      </c>
    </row>
    <row r="125" spans="1:8" ht="25.5" x14ac:dyDescent="0.3">
      <c r="A125" s="6" t="s">
        <v>55</v>
      </c>
      <c r="B125" s="4" t="s">
        <v>1100</v>
      </c>
      <c r="C125" s="4" t="s">
        <v>1107</v>
      </c>
      <c r="D125" s="6" t="s">
        <v>1010</v>
      </c>
      <c r="E125" s="4" t="s">
        <v>1014</v>
      </c>
      <c r="F125" s="6" t="s">
        <v>40</v>
      </c>
      <c r="G125" s="4" t="s">
        <v>1108</v>
      </c>
      <c r="H125" s="4" t="s">
        <v>1109</v>
      </c>
    </row>
    <row r="126" spans="1:8" ht="25.5" x14ac:dyDescent="0.3">
      <c r="A126" s="6" t="s">
        <v>55</v>
      </c>
      <c r="B126" s="4" t="s">
        <v>1100</v>
      </c>
      <c r="C126" s="4" t="s">
        <v>1110</v>
      </c>
      <c r="D126" s="6" t="s">
        <v>194</v>
      </c>
      <c r="E126" s="4" t="s">
        <v>1014</v>
      </c>
      <c r="F126" s="6" t="s">
        <v>40</v>
      </c>
      <c r="G126" s="4" t="s">
        <v>1111</v>
      </c>
      <c r="H126" s="4" t="s">
        <v>1112</v>
      </c>
    </row>
    <row r="127" spans="1:8" ht="25.5" x14ac:dyDescent="0.3">
      <c r="A127" s="6" t="s">
        <v>55</v>
      </c>
      <c r="B127" s="4" t="s">
        <v>1100</v>
      </c>
      <c r="C127" s="4" t="s">
        <v>1113</v>
      </c>
      <c r="D127" s="6" t="s">
        <v>1066</v>
      </c>
      <c r="E127" s="4" t="s">
        <v>1014</v>
      </c>
      <c r="F127" s="6" t="s">
        <v>40</v>
      </c>
      <c r="G127" s="4" t="s">
        <v>1114</v>
      </c>
      <c r="H127" s="4" t="s">
        <v>1115</v>
      </c>
    </row>
    <row r="128" spans="1:8" ht="25.5" x14ac:dyDescent="0.3">
      <c r="A128" s="6" t="s">
        <v>55</v>
      </c>
      <c r="B128" s="4" t="s">
        <v>1100</v>
      </c>
      <c r="C128" s="4" t="s">
        <v>1116</v>
      </c>
      <c r="D128" s="6" t="s">
        <v>1066</v>
      </c>
      <c r="E128" s="4" t="s">
        <v>1014</v>
      </c>
      <c r="F128" s="6" t="s">
        <v>40</v>
      </c>
      <c r="G128" s="4" t="s">
        <v>1117</v>
      </c>
      <c r="H128" s="4" t="s">
        <v>1115</v>
      </c>
    </row>
    <row r="129" spans="1:8" ht="25.5" x14ac:dyDescent="0.3">
      <c r="A129" s="6" t="s">
        <v>55</v>
      </c>
      <c r="B129" s="4" t="s">
        <v>1100</v>
      </c>
      <c r="C129" s="4" t="s">
        <v>1118</v>
      </c>
      <c r="D129" s="6" t="s">
        <v>1010</v>
      </c>
      <c r="E129" s="4" t="s">
        <v>1007</v>
      </c>
      <c r="F129" s="6" t="s">
        <v>40</v>
      </c>
      <c r="G129" s="4" t="s">
        <v>1119</v>
      </c>
      <c r="H129" s="4" t="s">
        <v>1120</v>
      </c>
    </row>
    <row r="130" spans="1:8" ht="25.5" x14ac:dyDescent="0.3">
      <c r="A130" s="6" t="s">
        <v>55</v>
      </c>
      <c r="B130" s="4" t="s">
        <v>1100</v>
      </c>
      <c r="C130" s="4" t="s">
        <v>1121</v>
      </c>
      <c r="D130" s="6" t="s">
        <v>448</v>
      </c>
      <c r="E130" s="4" t="s">
        <v>1007</v>
      </c>
      <c r="F130" s="6" t="s">
        <v>41</v>
      </c>
      <c r="G130" s="4" t="s">
        <v>1122</v>
      </c>
      <c r="H130" s="4" t="s">
        <v>1123</v>
      </c>
    </row>
  </sheetData>
  <autoFilter ref="A5:H130" xr:uid="{00000000-0009-0000-0000-000003000000}"/>
  <mergeCells count="1">
    <mergeCell ref="A2:H2"/>
  </mergeCells>
  <phoneticPr fontId="8" type="noConversion"/>
  <pageMargins left="0.75" right="0.75" top="1" bottom="1" header="0.5" footer="0.5"/>
  <pageSetup fitToHeight="0"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D141"/>
  <sheetViews>
    <sheetView showGridLines="0" workbookViewId="0">
      <pane xSplit="2" ySplit="5" topLeftCell="C6" activePane="bottomRight" state="frozen"/>
      <selection pane="topRight"/>
      <selection pane="bottomLeft"/>
      <selection pane="bottomRight"/>
    </sheetView>
  </sheetViews>
  <sheetFormatPr defaultRowHeight="16.5" x14ac:dyDescent="0.3"/>
  <cols>
    <col min="1" max="1" width="13" customWidth="1"/>
    <col min="2" max="2" width="28" customWidth="1"/>
    <col min="3" max="3" width="70" customWidth="1"/>
    <col min="4" max="4" width="60" customWidth="1"/>
  </cols>
  <sheetData>
    <row r="1" spans="1:4" ht="30" customHeight="1" x14ac:dyDescent="0.3">
      <c r="A1" s="1" t="s">
        <v>1124</v>
      </c>
    </row>
    <row r="2" spans="1:4" ht="33.950000000000003" customHeight="1" x14ac:dyDescent="0.3">
      <c r="A2" s="10" t="s">
        <v>1125</v>
      </c>
      <c r="B2" s="11"/>
      <c r="C2" s="11"/>
      <c r="D2" s="11"/>
    </row>
    <row r="3" spans="1:4" x14ac:dyDescent="0.3">
      <c r="A3" s="2" t="s">
        <v>2</v>
      </c>
    </row>
    <row r="5" spans="1:4" ht="26.1" customHeight="1" x14ac:dyDescent="0.3">
      <c r="A5" s="3" t="s">
        <v>39</v>
      </c>
      <c r="B5" s="3" t="s">
        <v>1126</v>
      </c>
      <c r="C5" s="3" t="s">
        <v>1127</v>
      </c>
      <c r="D5" s="3" t="s">
        <v>1128</v>
      </c>
    </row>
    <row r="6" spans="1:4" ht="38.25" x14ac:dyDescent="0.3">
      <c r="A6" s="6" t="s">
        <v>44</v>
      </c>
      <c r="B6" s="4" t="s">
        <v>1129</v>
      </c>
      <c r="C6" s="4" t="s">
        <v>1130</v>
      </c>
      <c r="D6" s="4" t="s">
        <v>1131</v>
      </c>
    </row>
    <row r="7" spans="1:4" ht="25.5" x14ac:dyDescent="0.3">
      <c r="A7" s="6" t="s">
        <v>44</v>
      </c>
      <c r="B7" s="4" t="s">
        <v>1132</v>
      </c>
      <c r="C7" s="4" t="s">
        <v>1133</v>
      </c>
      <c r="D7" s="4" t="s">
        <v>1134</v>
      </c>
    </row>
    <row r="8" spans="1:4" ht="51" x14ac:dyDescent="0.3">
      <c r="A8" s="6" t="s">
        <v>44</v>
      </c>
      <c r="B8" s="4" t="s">
        <v>1135</v>
      </c>
      <c r="C8" s="4" t="s">
        <v>1136</v>
      </c>
      <c r="D8" s="4" t="s">
        <v>1137</v>
      </c>
    </row>
    <row r="9" spans="1:4" ht="25.5" x14ac:dyDescent="0.3">
      <c r="A9" s="6" t="s">
        <v>44</v>
      </c>
      <c r="B9" s="4" t="s">
        <v>1138</v>
      </c>
      <c r="C9" s="4" t="s">
        <v>1139</v>
      </c>
      <c r="D9" s="4" t="s">
        <v>1140</v>
      </c>
    </row>
    <row r="10" spans="1:4" ht="38.25" x14ac:dyDescent="0.3">
      <c r="A10" s="6" t="s">
        <v>44</v>
      </c>
      <c r="B10" s="4" t="s">
        <v>1141</v>
      </c>
      <c r="C10" s="4" t="s">
        <v>1142</v>
      </c>
      <c r="D10" s="4" t="s">
        <v>1143</v>
      </c>
    </row>
    <row r="11" spans="1:4" ht="25.5" x14ac:dyDescent="0.3">
      <c r="A11" s="6" t="s">
        <v>44</v>
      </c>
      <c r="B11" s="4" t="s">
        <v>1144</v>
      </c>
      <c r="C11" s="4" t="s">
        <v>1145</v>
      </c>
      <c r="D11" s="4" t="s">
        <v>1146</v>
      </c>
    </row>
    <row r="12" spans="1:4" ht="25.5" x14ac:dyDescent="0.3">
      <c r="A12" s="6" t="s">
        <v>44</v>
      </c>
      <c r="B12" s="4" t="s">
        <v>1147</v>
      </c>
      <c r="C12" s="4" t="s">
        <v>1148</v>
      </c>
      <c r="D12" s="4" t="s">
        <v>1149</v>
      </c>
    </row>
    <row r="13" spans="1:4" ht="25.5" x14ac:dyDescent="0.3">
      <c r="A13" s="6" t="s">
        <v>44</v>
      </c>
      <c r="B13" s="4" t="s">
        <v>1150</v>
      </c>
      <c r="C13" s="4" t="s">
        <v>1151</v>
      </c>
      <c r="D13" s="4" t="s">
        <v>1152</v>
      </c>
    </row>
    <row r="14" spans="1:4" ht="25.5" x14ac:dyDescent="0.3">
      <c r="A14" s="6" t="s">
        <v>44</v>
      </c>
      <c r="B14" s="4" t="s">
        <v>1153</v>
      </c>
      <c r="C14" s="4" t="s">
        <v>1154</v>
      </c>
      <c r="D14" s="4" t="s">
        <v>1155</v>
      </c>
    </row>
    <row r="15" spans="1:4" ht="25.5" x14ac:dyDescent="0.3">
      <c r="A15" s="6" t="s">
        <v>44</v>
      </c>
      <c r="B15" s="4" t="s">
        <v>1156</v>
      </c>
      <c r="C15" s="4" t="s">
        <v>1157</v>
      </c>
      <c r="D15" s="4" t="s">
        <v>1158</v>
      </c>
    </row>
    <row r="16" spans="1:4" ht="25.5" x14ac:dyDescent="0.3">
      <c r="A16" s="6" t="s">
        <v>45</v>
      </c>
      <c r="B16" s="4" t="s">
        <v>1159</v>
      </c>
      <c r="C16" s="4" t="s">
        <v>1160</v>
      </c>
      <c r="D16" s="4" t="s">
        <v>1161</v>
      </c>
    </row>
    <row r="17" spans="1:4" ht="25.5" x14ac:dyDescent="0.3">
      <c r="A17" s="6" t="s">
        <v>45</v>
      </c>
      <c r="B17" s="4" t="s">
        <v>1162</v>
      </c>
      <c r="C17" s="4" t="s">
        <v>1163</v>
      </c>
      <c r="D17" s="4" t="s">
        <v>1164</v>
      </c>
    </row>
    <row r="18" spans="1:4" ht="25.5" x14ac:dyDescent="0.3">
      <c r="A18" s="6" t="s">
        <v>45</v>
      </c>
      <c r="B18" s="4" t="s">
        <v>1165</v>
      </c>
      <c r="C18" s="4" t="s">
        <v>1166</v>
      </c>
      <c r="D18" s="4" t="s">
        <v>1167</v>
      </c>
    </row>
    <row r="19" spans="1:4" ht="25.5" x14ac:dyDescent="0.3">
      <c r="A19" s="6" t="s">
        <v>45</v>
      </c>
      <c r="B19" s="4" t="s">
        <v>1168</v>
      </c>
      <c r="C19" s="4" t="s">
        <v>1169</v>
      </c>
      <c r="D19" s="4" t="s">
        <v>1170</v>
      </c>
    </row>
    <row r="20" spans="1:4" x14ac:dyDescent="0.3">
      <c r="A20" s="6" t="s">
        <v>45</v>
      </c>
      <c r="B20" s="4" t="s">
        <v>1171</v>
      </c>
      <c r="C20" s="4" t="s">
        <v>1172</v>
      </c>
      <c r="D20" s="4" t="s">
        <v>1173</v>
      </c>
    </row>
    <row r="21" spans="1:4" x14ac:dyDescent="0.3">
      <c r="A21" s="6" t="s">
        <v>45</v>
      </c>
      <c r="B21" s="4" t="s">
        <v>1174</v>
      </c>
      <c r="C21" s="4" t="s">
        <v>1175</v>
      </c>
      <c r="D21" s="4" t="s">
        <v>1176</v>
      </c>
    </row>
    <row r="22" spans="1:4" x14ac:dyDescent="0.3">
      <c r="A22" s="6" t="s">
        <v>45</v>
      </c>
      <c r="B22" s="4" t="s">
        <v>1177</v>
      </c>
      <c r="C22" s="4" t="s">
        <v>1178</v>
      </c>
      <c r="D22" s="4" t="s">
        <v>1179</v>
      </c>
    </row>
    <row r="23" spans="1:4" x14ac:dyDescent="0.3">
      <c r="A23" s="6" t="s">
        <v>45</v>
      </c>
      <c r="B23" s="4" t="s">
        <v>1180</v>
      </c>
      <c r="C23" s="4" t="s">
        <v>1181</v>
      </c>
      <c r="D23" s="4" t="s">
        <v>1182</v>
      </c>
    </row>
    <row r="24" spans="1:4" x14ac:dyDescent="0.3">
      <c r="A24" s="6" t="s">
        <v>45</v>
      </c>
      <c r="B24" s="4" t="s">
        <v>1183</v>
      </c>
      <c r="C24" s="4" t="s">
        <v>1184</v>
      </c>
      <c r="D24" s="4" t="s">
        <v>1185</v>
      </c>
    </row>
    <row r="25" spans="1:4" x14ac:dyDescent="0.3">
      <c r="A25" s="6" t="s">
        <v>45</v>
      </c>
      <c r="B25" s="4" t="s">
        <v>1186</v>
      </c>
      <c r="C25" s="4" t="s">
        <v>1187</v>
      </c>
      <c r="D25" s="4" t="s">
        <v>1188</v>
      </c>
    </row>
    <row r="26" spans="1:4" x14ac:dyDescent="0.3">
      <c r="A26" s="6" t="s">
        <v>45</v>
      </c>
      <c r="B26" s="4" t="s">
        <v>1189</v>
      </c>
      <c r="C26" s="4" t="s">
        <v>1190</v>
      </c>
      <c r="D26" s="4" t="s">
        <v>1191</v>
      </c>
    </row>
    <row r="27" spans="1:4" x14ac:dyDescent="0.3">
      <c r="A27" s="6" t="s">
        <v>45</v>
      </c>
      <c r="B27" s="4" t="s">
        <v>1192</v>
      </c>
      <c r="C27" s="4" t="s">
        <v>1193</v>
      </c>
      <c r="D27" s="4" t="s">
        <v>1194</v>
      </c>
    </row>
    <row r="28" spans="1:4" x14ac:dyDescent="0.3">
      <c r="A28" s="6" t="s">
        <v>45</v>
      </c>
      <c r="B28" s="4" t="s">
        <v>1195</v>
      </c>
      <c r="C28" s="4" t="s">
        <v>1196</v>
      </c>
      <c r="D28" s="4" t="s">
        <v>1197</v>
      </c>
    </row>
    <row r="29" spans="1:4" x14ac:dyDescent="0.3">
      <c r="A29" s="6" t="s">
        <v>45</v>
      </c>
      <c r="B29" s="4" t="s">
        <v>1198</v>
      </c>
      <c r="C29" s="4" t="s">
        <v>1199</v>
      </c>
      <c r="D29" s="4" t="s">
        <v>1200</v>
      </c>
    </row>
    <row r="30" spans="1:4" x14ac:dyDescent="0.3">
      <c r="A30" s="6" t="s">
        <v>46</v>
      </c>
      <c r="B30" s="4" t="s">
        <v>1201</v>
      </c>
      <c r="C30" s="4" t="s">
        <v>1202</v>
      </c>
      <c r="D30" s="4" t="s">
        <v>1203</v>
      </c>
    </row>
    <row r="31" spans="1:4" ht="25.5" x14ac:dyDescent="0.3">
      <c r="A31" s="6" t="s">
        <v>46</v>
      </c>
      <c r="B31" s="4" t="s">
        <v>1204</v>
      </c>
      <c r="C31" s="4" t="s">
        <v>1205</v>
      </c>
      <c r="D31" s="4" t="s">
        <v>1206</v>
      </c>
    </row>
    <row r="32" spans="1:4" ht="25.5" x14ac:dyDescent="0.3">
      <c r="A32" s="6" t="s">
        <v>46</v>
      </c>
      <c r="B32" s="4" t="s">
        <v>1207</v>
      </c>
      <c r="C32" s="4" t="s">
        <v>1208</v>
      </c>
      <c r="D32" s="4" t="s">
        <v>1209</v>
      </c>
    </row>
    <row r="33" spans="1:4" ht="25.5" x14ac:dyDescent="0.3">
      <c r="A33" s="6" t="s">
        <v>46</v>
      </c>
      <c r="B33" s="4" t="s">
        <v>1210</v>
      </c>
      <c r="C33" s="4" t="s">
        <v>1211</v>
      </c>
      <c r="D33" s="4" t="s">
        <v>1212</v>
      </c>
    </row>
    <row r="34" spans="1:4" ht="25.5" x14ac:dyDescent="0.3">
      <c r="A34" s="6" t="s">
        <v>46</v>
      </c>
      <c r="B34" s="4" t="s">
        <v>1213</v>
      </c>
      <c r="C34" s="4" t="s">
        <v>1214</v>
      </c>
      <c r="D34" s="4" t="s">
        <v>1215</v>
      </c>
    </row>
    <row r="35" spans="1:4" ht="25.5" x14ac:dyDescent="0.3">
      <c r="A35" s="6" t="s">
        <v>46</v>
      </c>
      <c r="B35" s="4" t="s">
        <v>1216</v>
      </c>
      <c r="C35" s="4" t="s">
        <v>1217</v>
      </c>
      <c r="D35" s="4" t="s">
        <v>1218</v>
      </c>
    </row>
    <row r="36" spans="1:4" x14ac:dyDescent="0.3">
      <c r="A36" s="6" t="s">
        <v>46</v>
      </c>
      <c r="B36" s="4" t="s">
        <v>1219</v>
      </c>
      <c r="C36" s="4" t="s">
        <v>1220</v>
      </c>
      <c r="D36" s="4" t="s">
        <v>1221</v>
      </c>
    </row>
    <row r="37" spans="1:4" x14ac:dyDescent="0.3">
      <c r="A37" s="6" t="s">
        <v>46</v>
      </c>
      <c r="B37" s="4" t="s">
        <v>1222</v>
      </c>
      <c r="C37" s="4" t="s">
        <v>1223</v>
      </c>
      <c r="D37" s="4" t="s">
        <v>1224</v>
      </c>
    </row>
    <row r="38" spans="1:4" x14ac:dyDescent="0.3">
      <c r="A38" s="6" t="s">
        <v>46</v>
      </c>
      <c r="B38" s="4" t="s">
        <v>1225</v>
      </c>
      <c r="C38" s="4" t="s">
        <v>1226</v>
      </c>
      <c r="D38" s="4" t="s">
        <v>1227</v>
      </c>
    </row>
    <row r="39" spans="1:4" x14ac:dyDescent="0.3">
      <c r="A39" s="6" t="s">
        <v>46</v>
      </c>
      <c r="B39" s="4" t="s">
        <v>1228</v>
      </c>
      <c r="C39" s="4" t="s">
        <v>1229</v>
      </c>
      <c r="D39" s="4" t="s">
        <v>1230</v>
      </c>
    </row>
    <row r="40" spans="1:4" x14ac:dyDescent="0.3">
      <c r="A40" s="6" t="s">
        <v>46</v>
      </c>
      <c r="B40" s="4" t="s">
        <v>1231</v>
      </c>
      <c r="C40" s="4" t="s">
        <v>1232</v>
      </c>
      <c r="D40" s="4" t="s">
        <v>1233</v>
      </c>
    </row>
    <row r="41" spans="1:4" x14ac:dyDescent="0.3">
      <c r="A41" s="6" t="s">
        <v>46</v>
      </c>
      <c r="B41" s="4" t="s">
        <v>1234</v>
      </c>
      <c r="C41" s="4" t="s">
        <v>1235</v>
      </c>
      <c r="D41" s="4" t="s">
        <v>1236</v>
      </c>
    </row>
    <row r="42" spans="1:4" x14ac:dyDescent="0.3">
      <c r="A42" s="6" t="s">
        <v>46</v>
      </c>
      <c r="B42" s="4" t="s">
        <v>1237</v>
      </c>
      <c r="C42" s="4" t="s">
        <v>1238</v>
      </c>
      <c r="D42" s="4" t="s">
        <v>1239</v>
      </c>
    </row>
    <row r="43" spans="1:4" x14ac:dyDescent="0.3">
      <c r="A43" s="6" t="s">
        <v>46</v>
      </c>
      <c r="B43" s="4" t="s">
        <v>1240</v>
      </c>
      <c r="C43" s="4" t="s">
        <v>1241</v>
      </c>
      <c r="D43" s="4" t="s">
        <v>1242</v>
      </c>
    </row>
    <row r="44" spans="1:4" x14ac:dyDescent="0.3">
      <c r="A44" s="6" t="s">
        <v>46</v>
      </c>
      <c r="B44" s="4" t="s">
        <v>1243</v>
      </c>
      <c r="C44" s="4" t="s">
        <v>1244</v>
      </c>
      <c r="D44" s="4" t="s">
        <v>1245</v>
      </c>
    </row>
    <row r="45" spans="1:4" ht="25.5" x14ac:dyDescent="0.3">
      <c r="A45" s="6" t="s">
        <v>47</v>
      </c>
      <c r="B45" s="4" t="s">
        <v>1246</v>
      </c>
      <c r="C45" s="4" t="s">
        <v>1247</v>
      </c>
      <c r="D45" s="4" t="s">
        <v>1248</v>
      </c>
    </row>
    <row r="46" spans="1:4" ht="25.5" x14ac:dyDescent="0.3">
      <c r="A46" s="6" t="s">
        <v>47</v>
      </c>
      <c r="B46" s="4" t="s">
        <v>1249</v>
      </c>
      <c r="C46" s="4" t="s">
        <v>1250</v>
      </c>
      <c r="D46" s="4" t="s">
        <v>1251</v>
      </c>
    </row>
    <row r="47" spans="1:4" ht="25.5" x14ac:dyDescent="0.3">
      <c r="A47" s="6" t="s">
        <v>47</v>
      </c>
      <c r="B47" s="4" t="s">
        <v>1252</v>
      </c>
      <c r="C47" s="4" t="s">
        <v>1253</v>
      </c>
      <c r="D47" s="4" t="s">
        <v>1254</v>
      </c>
    </row>
    <row r="48" spans="1:4" x14ac:dyDescent="0.3">
      <c r="A48" s="6" t="s">
        <v>47</v>
      </c>
      <c r="B48" s="4" t="s">
        <v>1255</v>
      </c>
      <c r="C48" s="4" t="s">
        <v>1256</v>
      </c>
      <c r="D48" s="4" t="s">
        <v>1257</v>
      </c>
    </row>
    <row r="49" spans="1:4" x14ac:dyDescent="0.3">
      <c r="A49" s="6" t="s">
        <v>47</v>
      </c>
      <c r="B49" s="4" t="s">
        <v>1258</v>
      </c>
      <c r="C49" s="4" t="s">
        <v>1259</v>
      </c>
      <c r="D49" s="4" t="s">
        <v>1260</v>
      </c>
    </row>
    <row r="50" spans="1:4" x14ac:dyDescent="0.3">
      <c r="A50" s="6" t="s">
        <v>47</v>
      </c>
      <c r="B50" s="4" t="s">
        <v>1261</v>
      </c>
      <c r="C50" s="4" t="s">
        <v>1262</v>
      </c>
      <c r="D50" s="4" t="s">
        <v>1263</v>
      </c>
    </row>
    <row r="51" spans="1:4" x14ac:dyDescent="0.3">
      <c r="A51" s="6" t="s">
        <v>47</v>
      </c>
      <c r="B51" s="4" t="s">
        <v>1264</v>
      </c>
      <c r="C51" s="4" t="s">
        <v>1265</v>
      </c>
      <c r="D51" s="4" t="s">
        <v>1266</v>
      </c>
    </row>
    <row r="52" spans="1:4" x14ac:dyDescent="0.3">
      <c r="A52" s="6" t="s">
        <v>47</v>
      </c>
      <c r="B52" s="4" t="s">
        <v>1267</v>
      </c>
      <c r="C52" s="4" t="s">
        <v>1268</v>
      </c>
      <c r="D52" s="4" t="s">
        <v>1269</v>
      </c>
    </row>
    <row r="53" spans="1:4" x14ac:dyDescent="0.3">
      <c r="A53" s="6" t="s">
        <v>47</v>
      </c>
      <c r="B53" s="4" t="s">
        <v>1270</v>
      </c>
      <c r="C53" s="4" t="s">
        <v>1271</v>
      </c>
      <c r="D53" s="4" t="s">
        <v>1272</v>
      </c>
    </row>
    <row r="54" spans="1:4" x14ac:dyDescent="0.3">
      <c r="A54" s="6" t="s">
        <v>47</v>
      </c>
      <c r="B54" s="4" t="s">
        <v>1273</v>
      </c>
      <c r="C54" s="4" t="s">
        <v>1274</v>
      </c>
      <c r="D54" s="4" t="s">
        <v>1275</v>
      </c>
    </row>
    <row r="55" spans="1:4" ht="25.5" x14ac:dyDescent="0.3">
      <c r="A55" s="6" t="s">
        <v>48</v>
      </c>
      <c r="B55" s="4" t="s">
        <v>1276</v>
      </c>
      <c r="C55" s="4" t="s">
        <v>1277</v>
      </c>
      <c r="D55" s="4" t="s">
        <v>1278</v>
      </c>
    </row>
    <row r="56" spans="1:4" ht="25.5" x14ac:dyDescent="0.3">
      <c r="A56" s="6" t="s">
        <v>48</v>
      </c>
      <c r="B56" s="4" t="s">
        <v>1279</v>
      </c>
      <c r="C56" s="4" t="s">
        <v>1280</v>
      </c>
      <c r="D56" s="4" t="s">
        <v>1281</v>
      </c>
    </row>
    <row r="57" spans="1:4" ht="25.5" x14ac:dyDescent="0.3">
      <c r="A57" s="6" t="s">
        <v>48</v>
      </c>
      <c r="B57" s="4" t="s">
        <v>1282</v>
      </c>
      <c r="C57" s="4" t="s">
        <v>1283</v>
      </c>
      <c r="D57" s="4" t="s">
        <v>1284</v>
      </c>
    </row>
    <row r="58" spans="1:4" ht="25.5" x14ac:dyDescent="0.3">
      <c r="A58" s="6" t="s">
        <v>48</v>
      </c>
      <c r="B58" s="4" t="s">
        <v>1285</v>
      </c>
      <c r="C58" s="4" t="s">
        <v>1286</v>
      </c>
      <c r="D58" s="4" t="s">
        <v>1287</v>
      </c>
    </row>
    <row r="59" spans="1:4" ht="25.5" x14ac:dyDescent="0.3">
      <c r="A59" s="6" t="s">
        <v>48</v>
      </c>
      <c r="B59" s="4" t="s">
        <v>1288</v>
      </c>
      <c r="C59" s="4" t="s">
        <v>1289</v>
      </c>
      <c r="D59" s="4" t="s">
        <v>1290</v>
      </c>
    </row>
    <row r="60" spans="1:4" x14ac:dyDescent="0.3">
      <c r="A60" s="6" t="s">
        <v>48</v>
      </c>
      <c r="B60" s="4" t="s">
        <v>1291</v>
      </c>
      <c r="C60" s="4" t="s">
        <v>1292</v>
      </c>
      <c r="D60" s="4" t="s">
        <v>1293</v>
      </c>
    </row>
    <row r="61" spans="1:4" x14ac:dyDescent="0.3">
      <c r="A61" s="6" t="s">
        <v>48</v>
      </c>
      <c r="B61" s="4" t="s">
        <v>1294</v>
      </c>
      <c r="C61" s="4" t="s">
        <v>1295</v>
      </c>
      <c r="D61" s="4" t="s">
        <v>1296</v>
      </c>
    </row>
    <row r="62" spans="1:4" x14ac:dyDescent="0.3">
      <c r="A62" s="6" t="s">
        <v>48</v>
      </c>
      <c r="B62" s="4" t="s">
        <v>1297</v>
      </c>
      <c r="C62" s="4" t="s">
        <v>1298</v>
      </c>
      <c r="D62" s="4" t="s">
        <v>1299</v>
      </c>
    </row>
    <row r="63" spans="1:4" x14ac:dyDescent="0.3">
      <c r="A63" s="6" t="s">
        <v>48</v>
      </c>
      <c r="B63" s="4" t="s">
        <v>1300</v>
      </c>
      <c r="C63" s="4" t="s">
        <v>1301</v>
      </c>
      <c r="D63" s="4" t="s">
        <v>1302</v>
      </c>
    </row>
    <row r="64" spans="1:4" x14ac:dyDescent="0.3">
      <c r="A64" s="6" t="s">
        <v>48</v>
      </c>
      <c r="B64" s="4" t="s">
        <v>1303</v>
      </c>
      <c r="C64" s="4" t="s">
        <v>1304</v>
      </c>
      <c r="D64" s="4" t="s">
        <v>1305</v>
      </c>
    </row>
    <row r="65" spans="1:4" x14ac:dyDescent="0.3">
      <c r="A65" s="6" t="s">
        <v>48</v>
      </c>
      <c r="B65" s="4" t="s">
        <v>1306</v>
      </c>
      <c r="C65" s="4" t="s">
        <v>1307</v>
      </c>
      <c r="D65" s="4" t="s">
        <v>1308</v>
      </c>
    </row>
    <row r="66" spans="1:4" ht="25.5" x14ac:dyDescent="0.3">
      <c r="A66" s="6" t="s">
        <v>49</v>
      </c>
      <c r="B66" s="4" t="s">
        <v>1309</v>
      </c>
      <c r="C66" s="4" t="s">
        <v>1310</v>
      </c>
      <c r="D66" s="4" t="s">
        <v>1311</v>
      </c>
    </row>
    <row r="67" spans="1:4" ht="25.5" x14ac:dyDescent="0.3">
      <c r="A67" s="6" t="s">
        <v>49</v>
      </c>
      <c r="B67" s="4" t="s">
        <v>1312</v>
      </c>
      <c r="C67" s="4" t="s">
        <v>1313</v>
      </c>
      <c r="D67" s="4" t="s">
        <v>1314</v>
      </c>
    </row>
    <row r="68" spans="1:4" x14ac:dyDescent="0.3">
      <c r="A68" s="6" t="s">
        <v>49</v>
      </c>
      <c r="B68" s="4" t="s">
        <v>1315</v>
      </c>
      <c r="C68" s="4" t="s">
        <v>1316</v>
      </c>
      <c r="D68" s="4" t="s">
        <v>1317</v>
      </c>
    </row>
    <row r="69" spans="1:4" x14ac:dyDescent="0.3">
      <c r="A69" s="6" t="s">
        <v>49</v>
      </c>
      <c r="B69" s="4" t="s">
        <v>1318</v>
      </c>
      <c r="C69" s="4" t="s">
        <v>1319</v>
      </c>
      <c r="D69" s="4" t="s">
        <v>1320</v>
      </c>
    </row>
    <row r="70" spans="1:4" x14ac:dyDescent="0.3">
      <c r="A70" s="6" t="s">
        <v>49</v>
      </c>
      <c r="B70" s="4" t="s">
        <v>1321</v>
      </c>
      <c r="C70" s="4" t="s">
        <v>1322</v>
      </c>
      <c r="D70" s="4" t="s">
        <v>1323</v>
      </c>
    </row>
    <row r="71" spans="1:4" x14ac:dyDescent="0.3">
      <c r="A71" s="6" t="s">
        <v>49</v>
      </c>
      <c r="B71" s="4" t="s">
        <v>1324</v>
      </c>
      <c r="C71" s="4" t="s">
        <v>1325</v>
      </c>
      <c r="D71" s="4" t="s">
        <v>1326</v>
      </c>
    </row>
    <row r="72" spans="1:4" x14ac:dyDescent="0.3">
      <c r="A72" s="6" t="s">
        <v>49</v>
      </c>
      <c r="B72" s="4" t="s">
        <v>1327</v>
      </c>
      <c r="C72" s="4" t="s">
        <v>1328</v>
      </c>
      <c r="D72" s="4" t="s">
        <v>1329</v>
      </c>
    </row>
    <row r="73" spans="1:4" x14ac:dyDescent="0.3">
      <c r="A73" s="6" t="s">
        <v>49</v>
      </c>
      <c r="B73" s="4" t="s">
        <v>1330</v>
      </c>
      <c r="C73" s="4" t="s">
        <v>1331</v>
      </c>
      <c r="D73" s="4" t="s">
        <v>1332</v>
      </c>
    </row>
    <row r="74" spans="1:4" x14ac:dyDescent="0.3">
      <c r="A74" s="6" t="s">
        <v>49</v>
      </c>
      <c r="B74" s="4" t="s">
        <v>1333</v>
      </c>
      <c r="C74" s="4" t="s">
        <v>1334</v>
      </c>
      <c r="D74" s="4" t="s">
        <v>1335</v>
      </c>
    </row>
    <row r="75" spans="1:4" x14ac:dyDescent="0.3">
      <c r="A75" s="6" t="s">
        <v>49</v>
      </c>
      <c r="B75" s="4" t="s">
        <v>1336</v>
      </c>
      <c r="C75" s="4" t="s">
        <v>1337</v>
      </c>
      <c r="D75" s="4" t="s">
        <v>1338</v>
      </c>
    </row>
    <row r="76" spans="1:4" x14ac:dyDescent="0.3">
      <c r="A76" s="6" t="s">
        <v>49</v>
      </c>
      <c r="B76" s="4" t="s">
        <v>1339</v>
      </c>
      <c r="C76" s="4" t="s">
        <v>1340</v>
      </c>
      <c r="D76" s="4" t="s">
        <v>1341</v>
      </c>
    </row>
    <row r="77" spans="1:4" x14ac:dyDescent="0.3">
      <c r="A77" s="6" t="s">
        <v>49</v>
      </c>
      <c r="B77" s="4" t="s">
        <v>1342</v>
      </c>
      <c r="C77" s="4" t="s">
        <v>1343</v>
      </c>
      <c r="D77" s="4" t="s">
        <v>1344</v>
      </c>
    </row>
    <row r="78" spans="1:4" x14ac:dyDescent="0.3">
      <c r="A78" s="6" t="s">
        <v>49</v>
      </c>
      <c r="B78" s="4" t="s">
        <v>1345</v>
      </c>
      <c r="C78" s="4" t="s">
        <v>1346</v>
      </c>
      <c r="D78" s="4" t="s">
        <v>1347</v>
      </c>
    </row>
    <row r="79" spans="1:4" x14ac:dyDescent="0.3">
      <c r="A79" s="6" t="s">
        <v>49</v>
      </c>
      <c r="B79" s="4" t="s">
        <v>1348</v>
      </c>
      <c r="C79" s="4" t="s">
        <v>1349</v>
      </c>
      <c r="D79" s="4" t="s">
        <v>1350</v>
      </c>
    </row>
    <row r="80" spans="1:4" x14ac:dyDescent="0.3">
      <c r="A80" s="6" t="s">
        <v>49</v>
      </c>
      <c r="B80" s="4" t="s">
        <v>1351</v>
      </c>
      <c r="C80" s="4" t="s">
        <v>1352</v>
      </c>
      <c r="D80" s="4" t="s">
        <v>1353</v>
      </c>
    </row>
    <row r="81" spans="1:4" x14ac:dyDescent="0.3">
      <c r="A81" s="6" t="s">
        <v>49</v>
      </c>
      <c r="B81" s="4" t="s">
        <v>1354</v>
      </c>
      <c r="C81" s="4" t="s">
        <v>1355</v>
      </c>
      <c r="D81" s="4" t="s">
        <v>1356</v>
      </c>
    </row>
    <row r="82" spans="1:4" x14ac:dyDescent="0.3">
      <c r="A82" s="6" t="s">
        <v>49</v>
      </c>
      <c r="B82" s="4" t="s">
        <v>1357</v>
      </c>
      <c r="C82" s="4" t="s">
        <v>1358</v>
      </c>
      <c r="D82" s="4" t="s">
        <v>1359</v>
      </c>
    </row>
    <row r="83" spans="1:4" x14ac:dyDescent="0.3">
      <c r="A83" s="6" t="s">
        <v>49</v>
      </c>
      <c r="B83" s="4" t="s">
        <v>1360</v>
      </c>
      <c r="C83" s="4" t="s">
        <v>1361</v>
      </c>
      <c r="D83" s="4" t="s">
        <v>1362</v>
      </c>
    </row>
    <row r="84" spans="1:4" x14ac:dyDescent="0.3">
      <c r="A84" s="6" t="s">
        <v>50</v>
      </c>
      <c r="B84" s="4" t="s">
        <v>1363</v>
      </c>
      <c r="C84" s="4" t="s">
        <v>1364</v>
      </c>
      <c r="D84" s="4" t="s">
        <v>1365</v>
      </c>
    </row>
    <row r="85" spans="1:4" x14ac:dyDescent="0.3">
      <c r="A85" s="6" t="s">
        <v>50</v>
      </c>
      <c r="B85" s="4" t="s">
        <v>1366</v>
      </c>
      <c r="C85" s="4" t="s">
        <v>1367</v>
      </c>
      <c r="D85" s="4" t="s">
        <v>1368</v>
      </c>
    </row>
    <row r="86" spans="1:4" x14ac:dyDescent="0.3">
      <c r="A86" s="6" t="s">
        <v>50</v>
      </c>
      <c r="B86" s="4" t="s">
        <v>1369</v>
      </c>
      <c r="C86" s="4" t="s">
        <v>1370</v>
      </c>
      <c r="D86" s="4" t="s">
        <v>1371</v>
      </c>
    </row>
    <row r="87" spans="1:4" ht="25.5" x14ac:dyDescent="0.3">
      <c r="A87" s="6" t="s">
        <v>50</v>
      </c>
      <c r="B87" s="4" t="s">
        <v>1372</v>
      </c>
      <c r="C87" s="4" t="s">
        <v>1373</v>
      </c>
      <c r="D87" s="4" t="s">
        <v>1374</v>
      </c>
    </row>
    <row r="88" spans="1:4" ht="25.5" x14ac:dyDescent="0.3">
      <c r="A88" s="6" t="s">
        <v>50</v>
      </c>
      <c r="B88" s="4" t="s">
        <v>1375</v>
      </c>
      <c r="C88" s="4" t="s">
        <v>1376</v>
      </c>
      <c r="D88" s="4" t="s">
        <v>1377</v>
      </c>
    </row>
    <row r="89" spans="1:4" x14ac:dyDescent="0.3">
      <c r="A89" s="6" t="s">
        <v>50</v>
      </c>
      <c r="B89" s="4" t="s">
        <v>1378</v>
      </c>
      <c r="C89" s="4" t="s">
        <v>1379</v>
      </c>
      <c r="D89" s="4" t="s">
        <v>1380</v>
      </c>
    </row>
    <row r="90" spans="1:4" ht="25.5" x14ac:dyDescent="0.3">
      <c r="A90" s="6" t="s">
        <v>50</v>
      </c>
      <c r="B90" s="4" t="s">
        <v>1381</v>
      </c>
      <c r="C90" s="4" t="s">
        <v>1382</v>
      </c>
      <c r="D90" s="4" t="s">
        <v>1383</v>
      </c>
    </row>
    <row r="91" spans="1:4" x14ac:dyDescent="0.3">
      <c r="A91" s="6" t="s">
        <v>50</v>
      </c>
      <c r="B91" s="4" t="s">
        <v>1384</v>
      </c>
      <c r="C91" s="4" t="s">
        <v>1385</v>
      </c>
      <c r="D91" s="4" t="s">
        <v>1386</v>
      </c>
    </row>
    <row r="92" spans="1:4" x14ac:dyDescent="0.3">
      <c r="A92" s="6" t="s">
        <v>50</v>
      </c>
      <c r="B92" s="4" t="s">
        <v>1387</v>
      </c>
      <c r="C92" s="4" t="s">
        <v>1388</v>
      </c>
      <c r="D92" s="4" t="s">
        <v>1389</v>
      </c>
    </row>
    <row r="93" spans="1:4" x14ac:dyDescent="0.3">
      <c r="A93" s="6" t="s">
        <v>50</v>
      </c>
      <c r="B93" s="4" t="s">
        <v>1390</v>
      </c>
      <c r="C93" s="4" t="s">
        <v>1391</v>
      </c>
      <c r="D93" s="4" t="s">
        <v>1392</v>
      </c>
    </row>
    <row r="94" spans="1:4" x14ac:dyDescent="0.3">
      <c r="A94" s="6" t="s">
        <v>50</v>
      </c>
      <c r="B94" s="4" t="s">
        <v>1393</v>
      </c>
      <c r="C94" s="4" t="s">
        <v>1394</v>
      </c>
      <c r="D94" s="4" t="s">
        <v>1395</v>
      </c>
    </row>
    <row r="95" spans="1:4" ht="25.5" x14ac:dyDescent="0.3">
      <c r="A95" s="6" t="s">
        <v>1396</v>
      </c>
      <c r="B95" s="4" t="s">
        <v>1397</v>
      </c>
      <c r="C95" s="4" t="s">
        <v>1398</v>
      </c>
      <c r="D95" s="4" t="s">
        <v>1399</v>
      </c>
    </row>
    <row r="96" spans="1:4" ht="25.5" x14ac:dyDescent="0.3">
      <c r="A96" s="6" t="s">
        <v>1396</v>
      </c>
      <c r="B96" s="4" t="s">
        <v>1400</v>
      </c>
      <c r="C96" s="4" t="s">
        <v>1401</v>
      </c>
      <c r="D96" s="4" t="s">
        <v>1402</v>
      </c>
    </row>
    <row r="97" spans="1:4" x14ac:dyDescent="0.3">
      <c r="A97" s="6" t="s">
        <v>1396</v>
      </c>
      <c r="B97" s="4" t="s">
        <v>1403</v>
      </c>
      <c r="C97" s="4" t="s">
        <v>1404</v>
      </c>
      <c r="D97" s="4" t="s">
        <v>1405</v>
      </c>
    </row>
    <row r="98" spans="1:4" ht="25.5" x14ac:dyDescent="0.3">
      <c r="A98" s="6" t="s">
        <v>1396</v>
      </c>
      <c r="B98" s="4" t="s">
        <v>1406</v>
      </c>
      <c r="C98" s="4" t="s">
        <v>1407</v>
      </c>
      <c r="D98" s="4" t="s">
        <v>1408</v>
      </c>
    </row>
    <row r="99" spans="1:4" ht="25.5" x14ac:dyDescent="0.3">
      <c r="A99" s="6" t="s">
        <v>1396</v>
      </c>
      <c r="B99" s="4" t="s">
        <v>1409</v>
      </c>
      <c r="C99" s="4" t="s">
        <v>1410</v>
      </c>
      <c r="D99" s="4" t="s">
        <v>1411</v>
      </c>
    </row>
    <row r="100" spans="1:4" x14ac:dyDescent="0.3">
      <c r="A100" s="6" t="s">
        <v>1396</v>
      </c>
      <c r="B100" s="4" t="s">
        <v>1255</v>
      </c>
      <c r="C100" s="4" t="s">
        <v>1412</v>
      </c>
      <c r="D100" s="4" t="s">
        <v>1413</v>
      </c>
    </row>
    <row r="101" spans="1:4" x14ac:dyDescent="0.3">
      <c r="A101" s="6" t="s">
        <v>1396</v>
      </c>
      <c r="B101" s="4" t="s">
        <v>1414</v>
      </c>
      <c r="C101" s="4" t="s">
        <v>1415</v>
      </c>
      <c r="D101" s="4" t="s">
        <v>1416</v>
      </c>
    </row>
    <row r="102" spans="1:4" ht="25.5" x14ac:dyDescent="0.3">
      <c r="A102" s="6" t="s">
        <v>1396</v>
      </c>
      <c r="B102" s="4" t="s">
        <v>1417</v>
      </c>
      <c r="C102" s="4" t="s">
        <v>1418</v>
      </c>
      <c r="D102" s="4" t="s">
        <v>1419</v>
      </c>
    </row>
    <row r="103" spans="1:4" x14ac:dyDescent="0.3">
      <c r="A103" s="6" t="s">
        <v>1396</v>
      </c>
      <c r="B103" s="4" t="s">
        <v>1273</v>
      </c>
      <c r="C103" s="4" t="s">
        <v>1420</v>
      </c>
      <c r="D103" s="4" t="s">
        <v>1421</v>
      </c>
    </row>
    <row r="104" spans="1:4" x14ac:dyDescent="0.3">
      <c r="A104" s="6" t="s">
        <v>1396</v>
      </c>
      <c r="B104" s="4" t="s">
        <v>1422</v>
      </c>
      <c r="C104" s="4" t="s">
        <v>1423</v>
      </c>
      <c r="D104" s="4" t="s">
        <v>1424</v>
      </c>
    </row>
    <row r="105" spans="1:4" x14ac:dyDescent="0.3">
      <c r="A105" s="6" t="s">
        <v>1396</v>
      </c>
      <c r="B105" s="4" t="s">
        <v>1425</v>
      </c>
      <c r="C105" s="4" t="s">
        <v>1426</v>
      </c>
      <c r="D105" s="4" t="s">
        <v>1427</v>
      </c>
    </row>
    <row r="106" spans="1:4" ht="25.5" x14ac:dyDescent="0.3">
      <c r="A106" s="6" t="s">
        <v>1396</v>
      </c>
      <c r="B106" s="4" t="s">
        <v>1428</v>
      </c>
      <c r="C106" s="4" t="s">
        <v>1429</v>
      </c>
      <c r="D106" s="4" t="s">
        <v>1430</v>
      </c>
    </row>
    <row r="107" spans="1:4" ht="25.5" x14ac:dyDescent="0.3">
      <c r="A107" s="6" t="s">
        <v>1431</v>
      </c>
      <c r="B107" s="4" t="s">
        <v>1432</v>
      </c>
      <c r="C107" s="4" t="s">
        <v>1433</v>
      </c>
      <c r="D107" s="4" t="s">
        <v>1434</v>
      </c>
    </row>
    <row r="108" spans="1:4" ht="25.5" x14ac:dyDescent="0.3">
      <c r="A108" s="6" t="s">
        <v>1431</v>
      </c>
      <c r="B108" s="4" t="s">
        <v>1435</v>
      </c>
      <c r="C108" s="4" t="s">
        <v>1436</v>
      </c>
      <c r="D108" s="4" t="s">
        <v>1437</v>
      </c>
    </row>
    <row r="109" spans="1:4" ht="25.5" x14ac:dyDescent="0.3">
      <c r="A109" s="6" t="s">
        <v>1431</v>
      </c>
      <c r="B109" s="4" t="s">
        <v>1438</v>
      </c>
      <c r="C109" s="4" t="s">
        <v>1439</v>
      </c>
      <c r="D109" s="4" t="s">
        <v>1440</v>
      </c>
    </row>
    <row r="110" spans="1:4" ht="25.5" x14ac:dyDescent="0.3">
      <c r="A110" s="6" t="s">
        <v>1431</v>
      </c>
      <c r="B110" s="4" t="s">
        <v>1441</v>
      </c>
      <c r="C110" s="4" t="s">
        <v>1442</v>
      </c>
      <c r="D110" s="4" t="s">
        <v>1443</v>
      </c>
    </row>
    <row r="111" spans="1:4" ht="25.5" x14ac:dyDescent="0.3">
      <c r="A111" s="6" t="s">
        <v>1431</v>
      </c>
      <c r="B111" s="4" t="s">
        <v>1444</v>
      </c>
      <c r="C111" s="4" t="s">
        <v>1445</v>
      </c>
      <c r="D111" s="4" t="s">
        <v>1446</v>
      </c>
    </row>
    <row r="112" spans="1:4" ht="25.5" x14ac:dyDescent="0.3">
      <c r="A112" s="6" t="s">
        <v>1431</v>
      </c>
      <c r="B112" s="4" t="s">
        <v>1447</v>
      </c>
      <c r="C112" s="4" t="s">
        <v>1448</v>
      </c>
      <c r="D112" s="4" t="s">
        <v>1449</v>
      </c>
    </row>
    <row r="113" spans="1:4" ht="25.5" x14ac:dyDescent="0.3">
      <c r="A113" s="6" t="s">
        <v>1431</v>
      </c>
      <c r="B113" s="4" t="s">
        <v>1450</v>
      </c>
      <c r="C113" s="4" t="s">
        <v>1451</v>
      </c>
      <c r="D113" s="4" t="s">
        <v>1452</v>
      </c>
    </row>
    <row r="114" spans="1:4" ht="25.5" x14ac:dyDescent="0.3">
      <c r="A114" s="6" t="s">
        <v>1431</v>
      </c>
      <c r="B114" s="4" t="s">
        <v>1453</v>
      </c>
      <c r="C114" s="4" t="s">
        <v>1454</v>
      </c>
      <c r="D114" s="4" t="s">
        <v>1455</v>
      </c>
    </row>
    <row r="115" spans="1:4" ht="25.5" x14ac:dyDescent="0.3">
      <c r="A115" s="6" t="s">
        <v>1431</v>
      </c>
      <c r="B115" s="4" t="s">
        <v>1456</v>
      </c>
      <c r="C115" s="4" t="s">
        <v>1457</v>
      </c>
      <c r="D115" s="4" t="s">
        <v>1458</v>
      </c>
    </row>
    <row r="116" spans="1:4" ht="38.25" x14ac:dyDescent="0.3">
      <c r="A116" s="6" t="s">
        <v>1459</v>
      </c>
      <c r="B116" s="4" t="s">
        <v>1460</v>
      </c>
      <c r="C116" s="4" t="s">
        <v>1461</v>
      </c>
      <c r="D116" s="4" t="s">
        <v>1462</v>
      </c>
    </row>
    <row r="117" spans="1:4" ht="25.5" x14ac:dyDescent="0.3">
      <c r="A117" s="6" t="s">
        <v>1459</v>
      </c>
      <c r="B117" s="4" t="s">
        <v>1463</v>
      </c>
      <c r="C117" s="4" t="s">
        <v>1464</v>
      </c>
      <c r="D117" s="4" t="s">
        <v>1465</v>
      </c>
    </row>
    <row r="118" spans="1:4" ht="25.5" x14ac:dyDescent="0.3">
      <c r="A118" s="6" t="s">
        <v>1459</v>
      </c>
      <c r="B118" s="4" t="s">
        <v>1466</v>
      </c>
      <c r="C118" s="4" t="s">
        <v>1467</v>
      </c>
      <c r="D118" s="4" t="s">
        <v>1468</v>
      </c>
    </row>
    <row r="119" spans="1:4" ht="25.5" x14ac:dyDescent="0.3">
      <c r="A119" s="6" t="s">
        <v>1459</v>
      </c>
      <c r="B119" s="4" t="s">
        <v>1469</v>
      </c>
      <c r="C119" s="4" t="s">
        <v>1470</v>
      </c>
      <c r="D119" s="4" t="s">
        <v>1471</v>
      </c>
    </row>
    <row r="120" spans="1:4" ht="25.5" x14ac:dyDescent="0.3">
      <c r="A120" s="6" t="s">
        <v>1459</v>
      </c>
      <c r="B120" s="4" t="s">
        <v>1472</v>
      </c>
      <c r="C120" s="4" t="s">
        <v>1473</v>
      </c>
      <c r="D120" s="4" t="s">
        <v>1474</v>
      </c>
    </row>
    <row r="121" spans="1:4" x14ac:dyDescent="0.3">
      <c r="A121" s="6" t="s">
        <v>1459</v>
      </c>
      <c r="B121" s="4" t="s">
        <v>1475</v>
      </c>
      <c r="C121" s="4" t="s">
        <v>1476</v>
      </c>
      <c r="D121" s="4" t="s">
        <v>1477</v>
      </c>
    </row>
    <row r="122" spans="1:4" x14ac:dyDescent="0.3">
      <c r="A122" s="6" t="s">
        <v>1459</v>
      </c>
      <c r="B122" s="4" t="s">
        <v>1478</v>
      </c>
      <c r="C122" s="4" t="s">
        <v>1479</v>
      </c>
      <c r="D122" s="4" t="s">
        <v>1480</v>
      </c>
    </row>
    <row r="123" spans="1:4" ht="25.5" x14ac:dyDescent="0.3">
      <c r="A123" s="6" t="s">
        <v>1459</v>
      </c>
      <c r="B123" s="4" t="s">
        <v>1481</v>
      </c>
      <c r="C123" s="4" t="s">
        <v>1482</v>
      </c>
      <c r="D123" s="4" t="s">
        <v>1483</v>
      </c>
    </row>
    <row r="124" spans="1:4" ht="25.5" x14ac:dyDescent="0.3">
      <c r="A124" s="6" t="s">
        <v>1459</v>
      </c>
      <c r="B124" s="4" t="s">
        <v>1484</v>
      </c>
      <c r="C124" s="4" t="s">
        <v>1485</v>
      </c>
      <c r="D124" s="4" t="s">
        <v>1486</v>
      </c>
    </row>
    <row r="125" spans="1:4" ht="25.5" x14ac:dyDescent="0.3">
      <c r="A125" s="6" t="s">
        <v>1459</v>
      </c>
      <c r="B125" s="4" t="s">
        <v>1487</v>
      </c>
      <c r="C125" s="4" t="s">
        <v>1488</v>
      </c>
      <c r="D125" s="4" t="s">
        <v>1489</v>
      </c>
    </row>
    <row r="126" spans="1:4" x14ac:dyDescent="0.3">
      <c r="A126" s="6" t="s">
        <v>1490</v>
      </c>
      <c r="B126" s="4" t="s">
        <v>1363</v>
      </c>
      <c r="C126" s="4" t="s">
        <v>1364</v>
      </c>
      <c r="D126" s="4" t="s">
        <v>1365</v>
      </c>
    </row>
    <row r="127" spans="1:4" x14ac:dyDescent="0.3">
      <c r="A127" s="6" t="s">
        <v>1490</v>
      </c>
      <c r="B127" s="4" t="s">
        <v>1366</v>
      </c>
      <c r="C127" s="4" t="s">
        <v>1367</v>
      </c>
      <c r="D127" s="4" t="s">
        <v>1368</v>
      </c>
    </row>
    <row r="128" spans="1:4" x14ac:dyDescent="0.3">
      <c r="A128" s="6" t="s">
        <v>1490</v>
      </c>
      <c r="B128" s="4" t="s">
        <v>1369</v>
      </c>
      <c r="C128" s="4" t="s">
        <v>1370</v>
      </c>
      <c r="D128" s="4" t="s">
        <v>1371</v>
      </c>
    </row>
    <row r="129" spans="1:4" ht="25.5" x14ac:dyDescent="0.3">
      <c r="A129" s="6" t="s">
        <v>1490</v>
      </c>
      <c r="B129" s="4" t="s">
        <v>1372</v>
      </c>
      <c r="C129" s="4" t="s">
        <v>1373</v>
      </c>
      <c r="D129" s="4" t="s">
        <v>1374</v>
      </c>
    </row>
    <row r="130" spans="1:4" ht="25.5" x14ac:dyDescent="0.3">
      <c r="A130" s="6" t="s">
        <v>1490</v>
      </c>
      <c r="B130" s="4" t="s">
        <v>1375</v>
      </c>
      <c r="C130" s="4" t="s">
        <v>1376</v>
      </c>
      <c r="D130" s="4" t="s">
        <v>1377</v>
      </c>
    </row>
    <row r="131" spans="1:4" x14ac:dyDescent="0.3">
      <c r="A131" s="6" t="s">
        <v>1490</v>
      </c>
      <c r="B131" s="4" t="s">
        <v>1378</v>
      </c>
      <c r="C131" s="4" t="s">
        <v>1379</v>
      </c>
      <c r="D131" s="4" t="s">
        <v>1380</v>
      </c>
    </row>
    <row r="132" spans="1:4" ht="25.5" x14ac:dyDescent="0.3">
      <c r="A132" s="6" t="s">
        <v>1490</v>
      </c>
      <c r="B132" s="4" t="s">
        <v>1381</v>
      </c>
      <c r="C132" s="4" t="s">
        <v>1382</v>
      </c>
      <c r="D132" s="4" t="s">
        <v>1383</v>
      </c>
    </row>
    <row r="133" spans="1:4" x14ac:dyDescent="0.3">
      <c r="A133" s="6" t="s">
        <v>1490</v>
      </c>
      <c r="B133" s="4" t="s">
        <v>1384</v>
      </c>
      <c r="C133" s="4" t="s">
        <v>1385</v>
      </c>
      <c r="D133" s="4" t="s">
        <v>1386</v>
      </c>
    </row>
    <row r="134" spans="1:4" x14ac:dyDescent="0.3">
      <c r="A134" s="6" t="s">
        <v>1490</v>
      </c>
      <c r="B134" s="4" t="s">
        <v>1387</v>
      </c>
      <c r="C134" s="4" t="s">
        <v>1388</v>
      </c>
      <c r="D134" s="4" t="s">
        <v>1389</v>
      </c>
    </row>
    <row r="135" spans="1:4" x14ac:dyDescent="0.3">
      <c r="A135" s="6" t="s">
        <v>1490</v>
      </c>
      <c r="B135" s="4" t="s">
        <v>1390</v>
      </c>
      <c r="C135" s="4" t="s">
        <v>1391</v>
      </c>
      <c r="D135" s="4" t="s">
        <v>1392</v>
      </c>
    </row>
    <row r="136" spans="1:4" x14ac:dyDescent="0.3">
      <c r="A136" s="6" t="s">
        <v>1490</v>
      </c>
      <c r="B136" s="4" t="s">
        <v>1393</v>
      </c>
      <c r="C136" s="4" t="s">
        <v>1394</v>
      </c>
      <c r="D136" s="4" t="s">
        <v>1395</v>
      </c>
    </row>
    <row r="137" spans="1:4" ht="25.5" x14ac:dyDescent="0.3">
      <c r="A137" s="6" t="s">
        <v>1491</v>
      </c>
      <c r="B137" s="4" t="s">
        <v>1492</v>
      </c>
      <c r="C137" s="4" t="s">
        <v>1493</v>
      </c>
      <c r="D137" s="4" t="s">
        <v>1494</v>
      </c>
    </row>
    <row r="138" spans="1:4" x14ac:dyDescent="0.3">
      <c r="A138" s="6" t="s">
        <v>1491</v>
      </c>
      <c r="B138" s="4" t="s">
        <v>1495</v>
      </c>
      <c r="C138" s="4" t="s">
        <v>1496</v>
      </c>
      <c r="D138" s="4" t="s">
        <v>1497</v>
      </c>
    </row>
    <row r="139" spans="1:4" ht="25.5" x14ac:dyDescent="0.3">
      <c r="A139" s="6" t="s">
        <v>1491</v>
      </c>
      <c r="B139" s="4" t="s">
        <v>1498</v>
      </c>
      <c r="C139" s="4" t="s">
        <v>1499</v>
      </c>
      <c r="D139" s="4" t="s">
        <v>1500</v>
      </c>
    </row>
    <row r="140" spans="1:4" x14ac:dyDescent="0.3">
      <c r="A140" s="6" t="s">
        <v>1491</v>
      </c>
      <c r="B140" s="4" t="s">
        <v>1501</v>
      </c>
      <c r="C140" s="4" t="s">
        <v>1502</v>
      </c>
      <c r="D140" s="4" t="s">
        <v>1503</v>
      </c>
    </row>
    <row r="141" spans="1:4" ht="25.5" x14ac:dyDescent="0.3">
      <c r="A141" s="6" t="s">
        <v>1491</v>
      </c>
      <c r="B141" s="4" t="s">
        <v>1504</v>
      </c>
      <c r="C141" s="4" t="s">
        <v>1505</v>
      </c>
      <c r="D141" s="4" t="s">
        <v>1506</v>
      </c>
    </row>
  </sheetData>
  <autoFilter ref="A5:D141" xr:uid="{00000000-0009-0000-0000-000004000000}"/>
  <mergeCells count="1">
    <mergeCell ref="A2:D2"/>
  </mergeCells>
  <phoneticPr fontId="8" type="noConversion"/>
  <pageMargins left="0.75" right="0.75" top="1" bottom="1" header="0.5" footer="0.5"/>
  <pageSetup fitToHeight="0"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F29"/>
  <sheetViews>
    <sheetView showGridLines="0" workbookViewId="0">
      <pane xSplit="2" ySplit="5" topLeftCell="C6" activePane="bottomRight" state="frozen"/>
      <selection pane="topRight"/>
      <selection pane="bottomLeft"/>
      <selection pane="bottomRight"/>
    </sheetView>
  </sheetViews>
  <sheetFormatPr defaultRowHeight="16.5" x14ac:dyDescent="0.3"/>
  <cols>
    <col min="1" max="1" width="13" customWidth="1"/>
    <col min="2" max="2" width="18" customWidth="1"/>
    <col min="3" max="5" width="48" customWidth="1"/>
    <col min="6" max="6" width="14" customWidth="1"/>
  </cols>
  <sheetData>
    <row r="1" spans="1:6" ht="30" customHeight="1" x14ac:dyDescent="0.3">
      <c r="A1" s="1" t="s">
        <v>1507</v>
      </c>
    </row>
    <row r="2" spans="1:6" ht="33.950000000000003" customHeight="1" x14ac:dyDescent="0.3">
      <c r="A2" s="10" t="s">
        <v>1508</v>
      </c>
      <c r="B2" s="11"/>
      <c r="C2" s="11"/>
      <c r="D2" s="11"/>
      <c r="E2" s="11"/>
      <c r="F2" s="11"/>
    </row>
    <row r="3" spans="1:6" x14ac:dyDescent="0.3">
      <c r="A3" s="2" t="s">
        <v>2</v>
      </c>
    </row>
    <row r="5" spans="1:6" ht="26.1" customHeight="1" x14ac:dyDescent="0.3">
      <c r="A5" s="3" t="s">
        <v>39</v>
      </c>
      <c r="B5" s="3" t="s">
        <v>1509</v>
      </c>
      <c r="C5" s="3" t="s">
        <v>1510</v>
      </c>
      <c r="D5" s="3" t="s">
        <v>1511</v>
      </c>
      <c r="E5" s="3" t="s">
        <v>1512</v>
      </c>
      <c r="F5" s="3" t="s">
        <v>29</v>
      </c>
    </row>
    <row r="6" spans="1:6" ht="38.25" x14ac:dyDescent="0.3">
      <c r="A6" s="6" t="s">
        <v>44</v>
      </c>
      <c r="B6" s="4" t="s">
        <v>1513</v>
      </c>
      <c r="C6" s="4" t="s">
        <v>1514</v>
      </c>
      <c r="D6" s="4" t="s">
        <v>1515</v>
      </c>
      <c r="E6" s="4" t="s">
        <v>1516</v>
      </c>
      <c r="F6" s="6" t="s">
        <v>1517</v>
      </c>
    </row>
    <row r="7" spans="1:6" ht="25.5" x14ac:dyDescent="0.3">
      <c r="A7" s="6" t="s">
        <v>44</v>
      </c>
      <c r="B7" s="4" t="s">
        <v>1518</v>
      </c>
      <c r="C7" s="4" t="s">
        <v>1519</v>
      </c>
      <c r="D7" s="4" t="s">
        <v>1520</v>
      </c>
      <c r="E7" s="4" t="s">
        <v>1521</v>
      </c>
      <c r="F7" s="6" t="s">
        <v>1522</v>
      </c>
    </row>
    <row r="8" spans="1:6" ht="38.25" x14ac:dyDescent="0.3">
      <c r="A8" s="6" t="s">
        <v>44</v>
      </c>
      <c r="B8" s="4" t="s">
        <v>1523</v>
      </c>
      <c r="C8" s="4" t="s">
        <v>1524</v>
      </c>
      <c r="D8" s="4" t="s">
        <v>1525</v>
      </c>
      <c r="E8" s="4" t="s">
        <v>1526</v>
      </c>
      <c r="F8" s="6" t="s">
        <v>1527</v>
      </c>
    </row>
    <row r="9" spans="1:6" ht="38.25" x14ac:dyDescent="0.3">
      <c r="A9" s="6" t="s">
        <v>44</v>
      </c>
      <c r="B9" s="4" t="s">
        <v>1528</v>
      </c>
      <c r="C9" s="4" t="s">
        <v>1529</v>
      </c>
      <c r="D9" s="4" t="s">
        <v>1530</v>
      </c>
      <c r="E9" s="4" t="s">
        <v>1531</v>
      </c>
      <c r="F9" s="6" t="s">
        <v>1532</v>
      </c>
    </row>
    <row r="10" spans="1:6" ht="38.25" x14ac:dyDescent="0.3">
      <c r="A10" s="6" t="s">
        <v>44</v>
      </c>
      <c r="B10" s="4" t="s">
        <v>1533</v>
      </c>
      <c r="C10" s="4" t="s">
        <v>1534</v>
      </c>
      <c r="D10" s="4" t="s">
        <v>1535</v>
      </c>
      <c r="E10" s="4" t="s">
        <v>1536</v>
      </c>
      <c r="F10" s="6" t="s">
        <v>1537</v>
      </c>
    </row>
    <row r="11" spans="1:6" ht="63.75" x14ac:dyDescent="0.3">
      <c r="A11" s="6" t="s">
        <v>45</v>
      </c>
      <c r="B11" s="4" t="s">
        <v>1538</v>
      </c>
      <c r="C11" s="4" t="s">
        <v>1539</v>
      </c>
      <c r="D11" s="4" t="s">
        <v>1540</v>
      </c>
      <c r="E11" s="4" t="s">
        <v>1541</v>
      </c>
      <c r="F11" s="6" t="s">
        <v>1542</v>
      </c>
    </row>
    <row r="12" spans="1:6" ht="25.5" x14ac:dyDescent="0.3">
      <c r="A12" s="6" t="s">
        <v>45</v>
      </c>
      <c r="B12" s="4" t="s">
        <v>1543</v>
      </c>
      <c r="C12" s="4" t="s">
        <v>1544</v>
      </c>
      <c r="D12" s="4" t="s">
        <v>1545</v>
      </c>
      <c r="E12" s="4" t="s">
        <v>1546</v>
      </c>
      <c r="F12" s="6" t="s">
        <v>1547</v>
      </c>
    </row>
    <row r="13" spans="1:6" x14ac:dyDescent="0.3">
      <c r="A13" s="6" t="s">
        <v>45</v>
      </c>
      <c r="B13" s="4" t="s">
        <v>1548</v>
      </c>
      <c r="C13" s="4" t="s">
        <v>1549</v>
      </c>
      <c r="D13" s="4" t="s">
        <v>1550</v>
      </c>
      <c r="E13" s="4" t="s">
        <v>1551</v>
      </c>
      <c r="F13" s="6" t="s">
        <v>1552</v>
      </c>
    </row>
    <row r="14" spans="1:6" x14ac:dyDescent="0.3">
      <c r="A14" s="6" t="s">
        <v>45</v>
      </c>
      <c r="B14" s="4" t="s">
        <v>1553</v>
      </c>
      <c r="C14" s="4" t="s">
        <v>1554</v>
      </c>
      <c r="D14" s="4" t="s">
        <v>1555</v>
      </c>
      <c r="E14" s="4" t="s">
        <v>1556</v>
      </c>
      <c r="F14" s="6" t="s">
        <v>1557</v>
      </c>
    </row>
    <row r="15" spans="1:6" ht="25.5" x14ac:dyDescent="0.3">
      <c r="A15" s="6" t="s">
        <v>45</v>
      </c>
      <c r="B15" s="4" t="s">
        <v>1558</v>
      </c>
      <c r="C15" s="4" t="s">
        <v>1559</v>
      </c>
      <c r="D15" s="4" t="s">
        <v>1559</v>
      </c>
      <c r="E15" s="4" t="s">
        <v>1560</v>
      </c>
      <c r="F15" s="6" t="s">
        <v>1561</v>
      </c>
    </row>
    <row r="16" spans="1:6" ht="63.75" x14ac:dyDescent="0.3">
      <c r="A16" s="6" t="s">
        <v>47</v>
      </c>
      <c r="B16" s="4" t="s">
        <v>601</v>
      </c>
      <c r="C16" s="4" t="s">
        <v>1562</v>
      </c>
      <c r="D16" s="4" t="s">
        <v>1563</v>
      </c>
      <c r="E16" s="4" t="s">
        <v>1564</v>
      </c>
      <c r="F16" s="6" t="s">
        <v>1565</v>
      </c>
    </row>
    <row r="17" spans="1:6" ht="25.5" x14ac:dyDescent="0.3">
      <c r="A17" s="6" t="s">
        <v>47</v>
      </c>
      <c r="B17" s="4" t="s">
        <v>478</v>
      </c>
      <c r="C17" s="4" t="s">
        <v>1566</v>
      </c>
      <c r="D17" s="4" t="s">
        <v>1567</v>
      </c>
      <c r="E17" s="4" t="s">
        <v>1568</v>
      </c>
      <c r="F17" s="6" t="s">
        <v>1569</v>
      </c>
    </row>
    <row r="18" spans="1:6" ht="25.5" x14ac:dyDescent="0.3">
      <c r="A18" s="6" t="s">
        <v>47</v>
      </c>
      <c r="B18" s="4" t="s">
        <v>1570</v>
      </c>
      <c r="C18" s="4" t="s">
        <v>1571</v>
      </c>
      <c r="D18" s="4" t="s">
        <v>1572</v>
      </c>
      <c r="E18" s="4" t="s">
        <v>1573</v>
      </c>
      <c r="F18" s="6" t="s">
        <v>1574</v>
      </c>
    </row>
    <row r="19" spans="1:6" ht="25.5" x14ac:dyDescent="0.3">
      <c r="A19" s="6" t="s">
        <v>47</v>
      </c>
      <c r="B19" s="4" t="s">
        <v>1575</v>
      </c>
      <c r="C19" s="4" t="s">
        <v>1559</v>
      </c>
      <c r="D19" s="4" t="s">
        <v>1576</v>
      </c>
      <c r="E19" s="4" t="s">
        <v>1577</v>
      </c>
      <c r="F19" s="6" t="s">
        <v>1578</v>
      </c>
    </row>
    <row r="20" spans="1:6" x14ac:dyDescent="0.3">
      <c r="A20" s="6" t="s">
        <v>47</v>
      </c>
      <c r="B20" s="4" t="s">
        <v>1579</v>
      </c>
      <c r="C20" s="4" t="s">
        <v>1554</v>
      </c>
      <c r="D20" s="4" t="s">
        <v>1554</v>
      </c>
      <c r="E20" s="4" t="s">
        <v>1580</v>
      </c>
      <c r="F20" s="6" t="s">
        <v>1581</v>
      </c>
    </row>
    <row r="21" spans="1:6" ht="25.5" x14ac:dyDescent="0.3">
      <c r="A21" s="6" t="s">
        <v>47</v>
      </c>
      <c r="B21" s="4" t="s">
        <v>1582</v>
      </c>
      <c r="C21" s="4" t="s">
        <v>1583</v>
      </c>
      <c r="D21" s="4" t="s">
        <v>1559</v>
      </c>
      <c r="E21" s="4" t="s">
        <v>1584</v>
      </c>
      <c r="F21" s="6" t="s">
        <v>1585</v>
      </c>
    </row>
    <row r="22" spans="1:6" ht="38.25" x14ac:dyDescent="0.3">
      <c r="A22" s="6" t="s">
        <v>48</v>
      </c>
      <c r="B22" s="4" t="s">
        <v>721</v>
      </c>
      <c r="C22" s="4" t="s">
        <v>1586</v>
      </c>
      <c r="D22" s="4"/>
      <c r="E22" s="4" t="s">
        <v>1587</v>
      </c>
      <c r="F22" s="6" t="s">
        <v>1588</v>
      </c>
    </row>
    <row r="23" spans="1:6" ht="38.25" x14ac:dyDescent="0.3">
      <c r="A23" s="6" t="s">
        <v>48</v>
      </c>
      <c r="B23" s="4" t="s">
        <v>1589</v>
      </c>
      <c r="C23" s="4" t="s">
        <v>1590</v>
      </c>
      <c r="D23" s="4"/>
      <c r="E23" s="4" t="s">
        <v>1591</v>
      </c>
      <c r="F23" s="6" t="s">
        <v>1592</v>
      </c>
    </row>
    <row r="24" spans="1:6" ht="25.5" x14ac:dyDescent="0.3">
      <c r="A24" s="6" t="s">
        <v>48</v>
      </c>
      <c r="B24" s="4" t="s">
        <v>1593</v>
      </c>
      <c r="C24" s="4" t="s">
        <v>1559</v>
      </c>
      <c r="D24" s="4"/>
      <c r="E24" s="4" t="s">
        <v>1594</v>
      </c>
      <c r="F24" s="6" t="s">
        <v>1595</v>
      </c>
    </row>
    <row r="25" spans="1:6" ht="25.5" x14ac:dyDescent="0.3">
      <c r="A25" s="6" t="s">
        <v>48</v>
      </c>
      <c r="B25" s="4" t="s">
        <v>1596</v>
      </c>
      <c r="C25" s="4" t="s">
        <v>1597</v>
      </c>
      <c r="D25" s="4"/>
      <c r="E25" s="4" t="s">
        <v>1598</v>
      </c>
      <c r="F25" s="6" t="s">
        <v>1599</v>
      </c>
    </row>
    <row r="26" spans="1:6" ht="63.75" x14ac:dyDescent="0.3">
      <c r="A26" s="6" t="s">
        <v>49</v>
      </c>
      <c r="B26" s="4" t="s">
        <v>601</v>
      </c>
      <c r="C26" s="4" t="s">
        <v>1600</v>
      </c>
      <c r="D26" s="4" t="s">
        <v>1601</v>
      </c>
      <c r="E26" s="4" t="s">
        <v>1602</v>
      </c>
      <c r="F26" s="6" t="s">
        <v>1603</v>
      </c>
    </row>
    <row r="27" spans="1:6" ht="25.5" x14ac:dyDescent="0.3">
      <c r="A27" s="6" t="s">
        <v>49</v>
      </c>
      <c r="B27" s="4" t="s">
        <v>1604</v>
      </c>
      <c r="C27" s="4" t="s">
        <v>1554</v>
      </c>
      <c r="D27" s="4" t="s">
        <v>1554</v>
      </c>
      <c r="E27" s="4" t="s">
        <v>1605</v>
      </c>
      <c r="F27" s="6" t="s">
        <v>1606</v>
      </c>
    </row>
    <row r="28" spans="1:6" ht="25.5" x14ac:dyDescent="0.3">
      <c r="A28" s="6" t="s">
        <v>49</v>
      </c>
      <c r="B28" s="4" t="s">
        <v>1607</v>
      </c>
      <c r="C28" s="4" t="s">
        <v>1554</v>
      </c>
      <c r="D28" s="4" t="s">
        <v>1554</v>
      </c>
      <c r="E28" s="4" t="s">
        <v>1608</v>
      </c>
      <c r="F28" s="6" t="s">
        <v>1606</v>
      </c>
    </row>
    <row r="29" spans="1:6" x14ac:dyDescent="0.3">
      <c r="A29" s="6" t="s">
        <v>49</v>
      </c>
      <c r="B29" s="4" t="s">
        <v>1609</v>
      </c>
      <c r="C29" s="4" t="s">
        <v>1610</v>
      </c>
      <c r="D29" s="4" t="s">
        <v>1559</v>
      </c>
      <c r="E29" s="4" t="s">
        <v>1611</v>
      </c>
      <c r="F29" s="6" t="s">
        <v>1612</v>
      </c>
    </row>
  </sheetData>
  <autoFilter ref="A5:F29" xr:uid="{00000000-0009-0000-0000-000005000000}"/>
  <mergeCells count="1">
    <mergeCell ref="A2:F2"/>
  </mergeCells>
  <phoneticPr fontId="8" type="noConversion"/>
  <pageMargins left="0.75" right="0.75" top="1" bottom="1" header="0.5" footer="0.5"/>
  <pageSetup fitToHeight="0"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D14"/>
  <sheetViews>
    <sheetView showGridLines="0" workbookViewId="0">
      <pane xSplit="1" ySplit="5" topLeftCell="B6" activePane="bottomRight" state="frozen"/>
      <selection pane="topRight"/>
      <selection pane="bottomLeft"/>
      <selection pane="bottomRight"/>
    </sheetView>
  </sheetViews>
  <sheetFormatPr defaultRowHeight="16.5" x14ac:dyDescent="0.3"/>
  <cols>
    <col min="1" max="1" width="34" customWidth="1"/>
    <col min="2" max="2" width="30" customWidth="1"/>
    <col min="3" max="3" width="60" customWidth="1"/>
    <col min="4" max="4" width="12" customWidth="1"/>
  </cols>
  <sheetData>
    <row r="1" spans="1:4" ht="30" customHeight="1" x14ac:dyDescent="0.3">
      <c r="A1" s="1" t="s">
        <v>1613</v>
      </c>
    </row>
    <row r="2" spans="1:4" ht="33.950000000000003" customHeight="1" x14ac:dyDescent="0.3">
      <c r="A2" s="10" t="s">
        <v>1614</v>
      </c>
      <c r="B2" s="11"/>
      <c r="C2" s="11"/>
      <c r="D2" s="11"/>
    </row>
    <row r="3" spans="1:4" x14ac:dyDescent="0.3">
      <c r="A3" s="2" t="s">
        <v>2</v>
      </c>
    </row>
    <row r="5" spans="1:4" ht="26.1" customHeight="1" x14ac:dyDescent="0.3">
      <c r="A5" s="3" t="s">
        <v>1615</v>
      </c>
      <c r="B5" s="3" t="s">
        <v>1616</v>
      </c>
      <c r="C5" s="3" t="s">
        <v>1617</v>
      </c>
      <c r="D5" s="3" t="s">
        <v>29</v>
      </c>
    </row>
    <row r="6" spans="1:4" x14ac:dyDescent="0.3">
      <c r="A6" s="4" t="s">
        <v>1618</v>
      </c>
      <c r="B6" s="4" t="s">
        <v>1619</v>
      </c>
      <c r="C6" s="4" t="s">
        <v>1620</v>
      </c>
      <c r="D6" s="6" t="s">
        <v>1561</v>
      </c>
    </row>
    <row r="7" spans="1:4" x14ac:dyDescent="0.3">
      <c r="A7" s="4" t="s">
        <v>1621</v>
      </c>
      <c r="B7" s="4" t="s">
        <v>1619</v>
      </c>
      <c r="C7" s="4" t="s">
        <v>1622</v>
      </c>
      <c r="D7" s="6" t="s">
        <v>1561</v>
      </c>
    </row>
    <row r="8" spans="1:4" ht="25.5" x14ac:dyDescent="0.3">
      <c r="A8" s="4" t="s">
        <v>1623</v>
      </c>
      <c r="B8" s="4" t="s">
        <v>1624</v>
      </c>
      <c r="C8" s="4" t="s">
        <v>1559</v>
      </c>
      <c r="D8" s="6" t="s">
        <v>1561</v>
      </c>
    </row>
    <row r="9" spans="1:4" x14ac:dyDescent="0.3">
      <c r="A9" s="4" t="s">
        <v>1625</v>
      </c>
      <c r="B9" s="4" t="s">
        <v>1619</v>
      </c>
      <c r="C9" s="4" t="s">
        <v>1559</v>
      </c>
      <c r="D9" s="6" t="s">
        <v>1561</v>
      </c>
    </row>
    <row r="10" spans="1:4" x14ac:dyDescent="0.3">
      <c r="A10" s="4" t="s">
        <v>1626</v>
      </c>
      <c r="B10" s="4" t="s">
        <v>1627</v>
      </c>
      <c r="C10" s="4" t="s">
        <v>1628</v>
      </c>
      <c r="D10" s="6" t="s">
        <v>1629</v>
      </c>
    </row>
    <row r="11" spans="1:4" x14ac:dyDescent="0.3">
      <c r="A11" s="4" t="s">
        <v>1630</v>
      </c>
      <c r="B11" s="4" t="s">
        <v>1631</v>
      </c>
      <c r="C11" s="4" t="s">
        <v>1632</v>
      </c>
      <c r="D11" s="6" t="s">
        <v>1633</v>
      </c>
    </row>
    <row r="12" spans="1:4" x14ac:dyDescent="0.3">
      <c r="A12" s="4" t="s">
        <v>1634</v>
      </c>
      <c r="B12" s="4" t="s">
        <v>1635</v>
      </c>
      <c r="C12" s="4" t="s">
        <v>1636</v>
      </c>
      <c r="D12" s="6" t="s">
        <v>1637</v>
      </c>
    </row>
    <row r="13" spans="1:4" x14ac:dyDescent="0.3">
      <c r="A13" s="4" t="s">
        <v>1638</v>
      </c>
      <c r="B13" s="4" t="s">
        <v>1639</v>
      </c>
      <c r="C13" s="4" t="s">
        <v>1640</v>
      </c>
      <c r="D13" s="6" t="s">
        <v>1641</v>
      </c>
    </row>
    <row r="14" spans="1:4" x14ac:dyDescent="0.3">
      <c r="A14" s="4" t="s">
        <v>1642</v>
      </c>
      <c r="B14" s="4" t="s">
        <v>1643</v>
      </c>
      <c r="C14" s="4" t="s">
        <v>1644</v>
      </c>
      <c r="D14" s="6" t="s">
        <v>1645</v>
      </c>
    </row>
  </sheetData>
  <autoFilter ref="A5:D14" xr:uid="{00000000-0009-0000-0000-000006000000}"/>
  <mergeCells count="1">
    <mergeCell ref="A2:D2"/>
  </mergeCells>
  <phoneticPr fontId="8" type="noConversion"/>
  <pageMargins left="0.75" right="0.75" top="1" bottom="1" header="0.5" footer="0.5"/>
  <pageSetup fitToHeight="0"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K55"/>
  <sheetViews>
    <sheetView showGridLines="0" workbookViewId="0">
      <pane xSplit="3" ySplit="5" topLeftCell="D6" activePane="bottomRight" state="frozen"/>
      <selection pane="topRight"/>
      <selection pane="bottomLeft"/>
      <selection pane="bottomRight"/>
    </sheetView>
  </sheetViews>
  <sheetFormatPr defaultRowHeight="16.5" x14ac:dyDescent="0.3"/>
  <cols>
    <col min="1" max="1" width="13" customWidth="1"/>
    <col min="2" max="2" width="14" customWidth="1"/>
    <col min="3" max="3" width="26" customWidth="1"/>
    <col min="4" max="4" width="36" customWidth="1"/>
    <col min="5" max="7" width="6" customWidth="1"/>
    <col min="8" max="9" width="28" customWidth="1"/>
    <col min="10" max="10" width="60" customWidth="1"/>
    <col min="11" max="11" width="10" customWidth="1"/>
  </cols>
  <sheetData>
    <row r="1" spans="1:11" ht="30" customHeight="1" x14ac:dyDescent="0.3">
      <c r="A1" s="1" t="s">
        <v>1646</v>
      </c>
    </row>
    <row r="2" spans="1:11" ht="33.950000000000003" customHeight="1" x14ac:dyDescent="0.3">
      <c r="A2" s="10" t="s">
        <v>1647</v>
      </c>
      <c r="B2" s="11"/>
      <c r="C2" s="11"/>
      <c r="D2" s="11"/>
      <c r="E2" s="11"/>
      <c r="F2" s="11"/>
      <c r="G2" s="11"/>
      <c r="H2" s="11"/>
      <c r="I2" s="11"/>
      <c r="J2" s="11"/>
      <c r="K2" s="11"/>
    </row>
    <row r="3" spans="1:11" x14ac:dyDescent="0.3">
      <c r="A3" s="2" t="s">
        <v>2</v>
      </c>
    </row>
    <row r="5" spans="1:11" ht="26.1" customHeight="1" x14ac:dyDescent="0.3">
      <c r="A5" s="3" t="s">
        <v>39</v>
      </c>
      <c r="B5" s="3" t="s">
        <v>1509</v>
      </c>
      <c r="C5" s="3" t="s">
        <v>1648</v>
      </c>
      <c r="D5" s="3" t="s">
        <v>1649</v>
      </c>
      <c r="E5" s="3" t="s">
        <v>1650</v>
      </c>
      <c r="F5" s="3" t="s">
        <v>59</v>
      </c>
      <c r="G5" s="3" t="s">
        <v>1651</v>
      </c>
      <c r="H5" s="3" t="s">
        <v>1652</v>
      </c>
      <c r="I5" s="3" t="s">
        <v>1653</v>
      </c>
      <c r="J5" s="3" t="s">
        <v>1654</v>
      </c>
      <c r="K5" s="3" t="s">
        <v>29</v>
      </c>
    </row>
    <row r="6" spans="1:11" ht="25.5" x14ac:dyDescent="0.3">
      <c r="A6" s="6" t="s">
        <v>44</v>
      </c>
      <c r="B6" s="4" t="s">
        <v>1655</v>
      </c>
      <c r="C6" s="4" t="s">
        <v>1656</v>
      </c>
      <c r="D6" s="4" t="s">
        <v>1657</v>
      </c>
      <c r="E6" s="8" t="s">
        <v>1658</v>
      </c>
      <c r="F6" s="6"/>
      <c r="G6" s="8" t="s">
        <v>1658</v>
      </c>
      <c r="H6" s="4" t="s">
        <v>1659</v>
      </c>
      <c r="I6" s="4" t="s">
        <v>1660</v>
      </c>
      <c r="J6" s="4" t="s">
        <v>1661</v>
      </c>
      <c r="K6" s="6" t="s">
        <v>1662</v>
      </c>
    </row>
    <row r="7" spans="1:11" ht="25.5" x14ac:dyDescent="0.3">
      <c r="A7" s="6" t="s">
        <v>44</v>
      </c>
      <c r="B7" s="4" t="s">
        <v>1655</v>
      </c>
      <c r="C7" s="4" t="s">
        <v>1663</v>
      </c>
      <c r="D7" s="4" t="s">
        <v>1664</v>
      </c>
      <c r="E7" s="8" t="s">
        <v>1658</v>
      </c>
      <c r="F7" s="6"/>
      <c r="G7" s="8" t="s">
        <v>1658</v>
      </c>
      <c r="H7" s="4" t="s">
        <v>1665</v>
      </c>
      <c r="I7" s="4" t="s">
        <v>1660</v>
      </c>
      <c r="J7" s="4" t="s">
        <v>1666</v>
      </c>
      <c r="K7" s="6" t="s">
        <v>1667</v>
      </c>
    </row>
    <row r="8" spans="1:11" ht="25.5" x14ac:dyDescent="0.3">
      <c r="A8" s="6" t="s">
        <v>44</v>
      </c>
      <c r="B8" s="4" t="s">
        <v>1668</v>
      </c>
      <c r="C8" s="4" t="s">
        <v>1669</v>
      </c>
      <c r="D8" s="4" t="s">
        <v>1670</v>
      </c>
      <c r="E8" s="8" t="s">
        <v>1658</v>
      </c>
      <c r="F8" s="6"/>
      <c r="G8" s="8" t="s">
        <v>1658</v>
      </c>
      <c r="H8" s="4" t="s">
        <v>1671</v>
      </c>
      <c r="I8" s="4" t="s">
        <v>1672</v>
      </c>
      <c r="J8" s="4" t="s">
        <v>1673</v>
      </c>
      <c r="K8" s="6" t="s">
        <v>1674</v>
      </c>
    </row>
    <row r="9" spans="1:11" ht="25.5" x14ac:dyDescent="0.3">
      <c r="A9" s="6" t="s">
        <v>44</v>
      </c>
      <c r="B9" s="4" t="s">
        <v>1675</v>
      </c>
      <c r="C9" s="4" t="s">
        <v>1676</v>
      </c>
      <c r="D9" s="4" t="s">
        <v>1677</v>
      </c>
      <c r="E9" s="8" t="s">
        <v>1658</v>
      </c>
      <c r="F9" s="8" t="s">
        <v>1658</v>
      </c>
      <c r="G9" s="8" t="s">
        <v>1658</v>
      </c>
      <c r="H9" s="4" t="s">
        <v>1678</v>
      </c>
      <c r="I9" s="4" t="s">
        <v>1679</v>
      </c>
      <c r="J9" s="4" t="s">
        <v>1680</v>
      </c>
      <c r="K9" s="6" t="s">
        <v>1681</v>
      </c>
    </row>
    <row r="10" spans="1:11" ht="25.5" x14ac:dyDescent="0.3">
      <c r="A10" s="6" t="s">
        <v>44</v>
      </c>
      <c r="B10" s="4" t="s">
        <v>1675</v>
      </c>
      <c r="C10" s="4" t="s">
        <v>1682</v>
      </c>
      <c r="D10" s="4" t="s">
        <v>1683</v>
      </c>
      <c r="E10" s="6"/>
      <c r="F10" s="8" t="s">
        <v>1658</v>
      </c>
      <c r="G10" s="8" t="s">
        <v>1658</v>
      </c>
      <c r="H10" s="4" t="s">
        <v>1684</v>
      </c>
      <c r="I10" s="4" t="s">
        <v>1685</v>
      </c>
      <c r="J10" s="4" t="s">
        <v>1686</v>
      </c>
      <c r="K10" s="6" t="s">
        <v>1687</v>
      </c>
    </row>
    <row r="11" spans="1:11" x14ac:dyDescent="0.3">
      <c r="A11" s="6" t="s">
        <v>44</v>
      </c>
      <c r="B11" s="4" t="s">
        <v>1675</v>
      </c>
      <c r="C11" s="4" t="s">
        <v>1688</v>
      </c>
      <c r="D11" s="4" t="s">
        <v>1689</v>
      </c>
      <c r="E11" s="8" t="s">
        <v>1658</v>
      </c>
      <c r="F11" s="6"/>
      <c r="G11" s="8" t="s">
        <v>1658</v>
      </c>
      <c r="H11" s="4" t="s">
        <v>1690</v>
      </c>
      <c r="I11" s="4" t="s">
        <v>1691</v>
      </c>
      <c r="J11" s="4" t="s">
        <v>1692</v>
      </c>
      <c r="K11" s="6" t="s">
        <v>1693</v>
      </c>
    </row>
    <row r="12" spans="1:11" ht="25.5" x14ac:dyDescent="0.3">
      <c r="A12" s="6" t="s">
        <v>44</v>
      </c>
      <c r="B12" s="4" t="s">
        <v>1694</v>
      </c>
      <c r="C12" s="4" t="s">
        <v>1695</v>
      </c>
      <c r="D12" s="4" t="s">
        <v>1696</v>
      </c>
      <c r="E12" s="8" t="s">
        <v>1658</v>
      </c>
      <c r="F12" s="8" t="s">
        <v>1658</v>
      </c>
      <c r="G12" s="8" t="s">
        <v>1658</v>
      </c>
      <c r="H12" s="4" t="s">
        <v>1697</v>
      </c>
      <c r="I12" s="4" t="s">
        <v>1698</v>
      </c>
      <c r="J12" s="4" t="s">
        <v>1699</v>
      </c>
      <c r="K12" s="6" t="s">
        <v>1700</v>
      </c>
    </row>
    <row r="13" spans="1:11" ht="25.5" x14ac:dyDescent="0.3">
      <c r="A13" s="6" t="s">
        <v>44</v>
      </c>
      <c r="B13" s="4" t="s">
        <v>1518</v>
      </c>
      <c r="C13" s="4" t="s">
        <v>1701</v>
      </c>
      <c r="D13" s="4" t="s">
        <v>1702</v>
      </c>
      <c r="E13" s="8" t="s">
        <v>1658</v>
      </c>
      <c r="F13" s="8" t="s">
        <v>1658</v>
      </c>
      <c r="G13" s="6"/>
      <c r="H13" s="4" t="s">
        <v>1703</v>
      </c>
      <c r="I13" s="4" t="s">
        <v>1704</v>
      </c>
      <c r="J13" s="4" t="s">
        <v>1705</v>
      </c>
      <c r="K13" s="6" t="s">
        <v>1706</v>
      </c>
    </row>
    <row r="14" spans="1:11" ht="25.5" x14ac:dyDescent="0.3">
      <c r="A14" s="6" t="s">
        <v>44</v>
      </c>
      <c r="B14" s="4" t="s">
        <v>1707</v>
      </c>
      <c r="C14" s="4" t="s">
        <v>1708</v>
      </c>
      <c r="D14" s="4" t="s">
        <v>1709</v>
      </c>
      <c r="E14" s="6"/>
      <c r="F14" s="6"/>
      <c r="G14" s="8" t="s">
        <v>1658</v>
      </c>
      <c r="H14" s="4" t="s">
        <v>1651</v>
      </c>
      <c r="I14" s="4" t="s">
        <v>1710</v>
      </c>
      <c r="J14" s="4" t="s">
        <v>1711</v>
      </c>
      <c r="K14" s="6" t="s">
        <v>1712</v>
      </c>
    </row>
    <row r="15" spans="1:11" x14ac:dyDescent="0.3">
      <c r="A15" s="6" t="s">
        <v>44</v>
      </c>
      <c r="B15" s="4" t="s">
        <v>1713</v>
      </c>
      <c r="C15" s="4" t="s">
        <v>1714</v>
      </c>
      <c r="D15" s="4" t="s">
        <v>1715</v>
      </c>
      <c r="E15" s="6"/>
      <c r="F15" s="8" t="s">
        <v>1658</v>
      </c>
      <c r="G15" s="8" t="s">
        <v>1658</v>
      </c>
      <c r="H15" s="4" t="s">
        <v>1716</v>
      </c>
      <c r="I15" s="4" t="s">
        <v>1717</v>
      </c>
      <c r="J15" s="4" t="s">
        <v>1718</v>
      </c>
      <c r="K15" s="6" t="s">
        <v>1719</v>
      </c>
    </row>
    <row r="16" spans="1:11" x14ac:dyDescent="0.3">
      <c r="A16" s="6" t="s">
        <v>44</v>
      </c>
      <c r="B16" s="4" t="s">
        <v>1720</v>
      </c>
      <c r="C16" s="4" t="s">
        <v>1721</v>
      </c>
      <c r="D16" s="4" t="s">
        <v>1722</v>
      </c>
      <c r="E16" s="8" t="s">
        <v>1658</v>
      </c>
      <c r="F16" s="6"/>
      <c r="G16" s="6"/>
      <c r="H16" s="4" t="s">
        <v>1650</v>
      </c>
      <c r="I16" s="4" t="s">
        <v>1723</v>
      </c>
      <c r="J16" s="4" t="s">
        <v>1724</v>
      </c>
      <c r="K16" s="6" t="s">
        <v>1725</v>
      </c>
    </row>
    <row r="17" spans="1:11" x14ac:dyDescent="0.3">
      <c r="A17" s="6" t="s">
        <v>44</v>
      </c>
      <c r="B17" s="4" t="s">
        <v>108</v>
      </c>
      <c r="C17" s="4" t="s">
        <v>1726</v>
      </c>
      <c r="D17" s="4" t="s">
        <v>1727</v>
      </c>
      <c r="E17" s="8" t="s">
        <v>1658</v>
      </c>
      <c r="F17" s="6"/>
      <c r="G17" s="6"/>
      <c r="H17" s="4" t="s">
        <v>1650</v>
      </c>
      <c r="I17" s="4" t="s">
        <v>1728</v>
      </c>
      <c r="J17" s="4" t="s">
        <v>1729</v>
      </c>
      <c r="K17" s="6" t="s">
        <v>1537</v>
      </c>
    </row>
    <row r="18" spans="1:11" x14ac:dyDescent="0.3">
      <c r="A18" s="6" t="s">
        <v>44</v>
      </c>
      <c r="B18" s="4" t="s">
        <v>561</v>
      </c>
      <c r="C18" s="4" t="s">
        <v>1730</v>
      </c>
      <c r="D18" s="4" t="s">
        <v>1731</v>
      </c>
      <c r="E18" s="8" t="s">
        <v>1658</v>
      </c>
      <c r="F18" s="6"/>
      <c r="G18" s="8" t="s">
        <v>1658</v>
      </c>
      <c r="H18" s="4" t="s">
        <v>1732</v>
      </c>
      <c r="I18" s="4" t="s">
        <v>1733</v>
      </c>
      <c r="J18" s="4" t="s">
        <v>1734</v>
      </c>
      <c r="K18" s="6" t="s">
        <v>1735</v>
      </c>
    </row>
    <row r="19" spans="1:11" ht="25.5" x14ac:dyDescent="0.3">
      <c r="A19" s="6" t="s">
        <v>45</v>
      </c>
      <c r="B19" s="4" t="s">
        <v>645</v>
      </c>
      <c r="C19" s="4" t="s">
        <v>1736</v>
      </c>
      <c r="D19" s="4" t="s">
        <v>1737</v>
      </c>
      <c r="E19" s="8" t="s">
        <v>1658</v>
      </c>
      <c r="F19" s="6"/>
      <c r="G19" s="6"/>
      <c r="H19" s="4" t="s">
        <v>1650</v>
      </c>
      <c r="I19" s="4" t="s">
        <v>1738</v>
      </c>
      <c r="J19" s="4" t="s">
        <v>1739</v>
      </c>
      <c r="K19" s="6" t="s">
        <v>1740</v>
      </c>
    </row>
    <row r="20" spans="1:11" x14ac:dyDescent="0.3">
      <c r="A20" s="6" t="s">
        <v>45</v>
      </c>
      <c r="B20" s="4" t="s">
        <v>1741</v>
      </c>
      <c r="C20" s="4" t="s">
        <v>1742</v>
      </c>
      <c r="D20" s="4" t="s">
        <v>1743</v>
      </c>
      <c r="E20" s="6"/>
      <c r="F20" s="8" t="s">
        <v>1658</v>
      </c>
      <c r="G20" s="8" t="s">
        <v>1658</v>
      </c>
      <c r="H20" s="4" t="s">
        <v>1744</v>
      </c>
      <c r="I20" s="4" t="s">
        <v>1745</v>
      </c>
      <c r="J20" s="4" t="s">
        <v>1746</v>
      </c>
      <c r="K20" s="6" t="s">
        <v>1747</v>
      </c>
    </row>
    <row r="21" spans="1:11" x14ac:dyDescent="0.3">
      <c r="A21" s="6" t="s">
        <v>45</v>
      </c>
      <c r="B21" s="4" t="s">
        <v>1741</v>
      </c>
      <c r="C21" s="4" t="s">
        <v>1748</v>
      </c>
      <c r="D21" s="4" t="s">
        <v>1749</v>
      </c>
      <c r="E21" s="6"/>
      <c r="F21" s="8" t="s">
        <v>1658</v>
      </c>
      <c r="G21" s="8" t="s">
        <v>1658</v>
      </c>
      <c r="H21" s="4" t="s">
        <v>1750</v>
      </c>
      <c r="I21" s="4" t="s">
        <v>1751</v>
      </c>
      <c r="J21" s="4" t="s">
        <v>1752</v>
      </c>
      <c r="K21" s="6" t="s">
        <v>1753</v>
      </c>
    </row>
    <row r="22" spans="1:11" ht="25.5" x14ac:dyDescent="0.3">
      <c r="A22" s="6" t="s">
        <v>45</v>
      </c>
      <c r="B22" s="4" t="s">
        <v>1754</v>
      </c>
      <c r="C22" s="4" t="s">
        <v>1755</v>
      </c>
      <c r="D22" s="4" t="s">
        <v>1756</v>
      </c>
      <c r="E22" s="8" t="s">
        <v>1658</v>
      </c>
      <c r="F22" s="8" t="s">
        <v>1658</v>
      </c>
      <c r="G22" s="6"/>
      <c r="H22" s="4" t="s">
        <v>1757</v>
      </c>
      <c r="I22" s="4" t="s">
        <v>1758</v>
      </c>
      <c r="J22" s="4" t="s">
        <v>1759</v>
      </c>
      <c r="K22" s="6" t="s">
        <v>1760</v>
      </c>
    </row>
    <row r="23" spans="1:11" x14ac:dyDescent="0.3">
      <c r="A23" s="6" t="s">
        <v>45</v>
      </c>
      <c r="B23" s="4" t="s">
        <v>1761</v>
      </c>
      <c r="C23" s="4" t="s">
        <v>1762</v>
      </c>
      <c r="D23" s="4" t="s">
        <v>1763</v>
      </c>
      <c r="E23" s="8" t="s">
        <v>1658</v>
      </c>
      <c r="F23" s="6"/>
      <c r="G23" s="6"/>
      <c r="H23" s="4" t="s">
        <v>1650</v>
      </c>
      <c r="I23" s="4" t="s">
        <v>1764</v>
      </c>
      <c r="J23" s="4" t="s">
        <v>1765</v>
      </c>
      <c r="K23" s="6" t="s">
        <v>1766</v>
      </c>
    </row>
    <row r="24" spans="1:11" x14ac:dyDescent="0.3">
      <c r="A24" s="6" t="s">
        <v>45</v>
      </c>
      <c r="B24" s="4" t="s">
        <v>1767</v>
      </c>
      <c r="C24" s="4" t="s">
        <v>1768</v>
      </c>
      <c r="D24" s="4" t="s">
        <v>1769</v>
      </c>
      <c r="E24" s="8" t="s">
        <v>1658</v>
      </c>
      <c r="F24" s="6"/>
      <c r="G24" s="6"/>
      <c r="H24" s="4" t="s">
        <v>1650</v>
      </c>
      <c r="I24" s="4" t="s">
        <v>79</v>
      </c>
      <c r="J24" s="4" t="s">
        <v>1770</v>
      </c>
      <c r="K24" s="6" t="s">
        <v>1771</v>
      </c>
    </row>
    <row r="25" spans="1:11" x14ac:dyDescent="0.3">
      <c r="A25" s="6" t="s">
        <v>45</v>
      </c>
      <c r="B25" s="4" t="s">
        <v>1767</v>
      </c>
      <c r="C25" s="4" t="s">
        <v>1772</v>
      </c>
      <c r="D25" s="4" t="s">
        <v>1773</v>
      </c>
      <c r="E25" s="8" t="s">
        <v>1658</v>
      </c>
      <c r="F25" s="6"/>
      <c r="G25" s="8" t="s">
        <v>1658</v>
      </c>
      <c r="H25" s="4" t="s">
        <v>1774</v>
      </c>
      <c r="I25" s="4" t="s">
        <v>79</v>
      </c>
      <c r="J25" s="4" t="s">
        <v>1775</v>
      </c>
      <c r="K25" s="6" t="s">
        <v>1776</v>
      </c>
    </row>
    <row r="26" spans="1:11" x14ac:dyDescent="0.3">
      <c r="A26" s="6" t="s">
        <v>45</v>
      </c>
      <c r="B26" s="4" t="s">
        <v>904</v>
      </c>
      <c r="C26" s="4" t="s">
        <v>1777</v>
      </c>
      <c r="D26" s="4" t="s">
        <v>1778</v>
      </c>
      <c r="E26" s="8" t="s">
        <v>1658</v>
      </c>
      <c r="F26" s="6"/>
      <c r="G26" s="8" t="s">
        <v>1658</v>
      </c>
      <c r="H26" s="4" t="s">
        <v>1779</v>
      </c>
      <c r="I26" s="4" t="s">
        <v>1780</v>
      </c>
      <c r="J26" s="4" t="s">
        <v>1781</v>
      </c>
      <c r="K26" s="6" t="s">
        <v>1547</v>
      </c>
    </row>
    <row r="27" spans="1:11" x14ac:dyDescent="0.3">
      <c r="A27" s="6" t="s">
        <v>45</v>
      </c>
      <c r="B27" s="4" t="s">
        <v>295</v>
      </c>
      <c r="C27" s="4" t="s">
        <v>1782</v>
      </c>
      <c r="D27" s="4" t="s">
        <v>1783</v>
      </c>
      <c r="E27" s="8" t="s">
        <v>1658</v>
      </c>
      <c r="F27" s="8" t="s">
        <v>1658</v>
      </c>
      <c r="G27" s="6"/>
      <c r="H27" s="4" t="s">
        <v>1784</v>
      </c>
      <c r="I27" s="4" t="s">
        <v>1785</v>
      </c>
      <c r="J27" s="4" t="s">
        <v>1786</v>
      </c>
      <c r="K27" s="6" t="s">
        <v>1787</v>
      </c>
    </row>
    <row r="28" spans="1:11" x14ac:dyDescent="0.3">
      <c r="A28" s="6" t="s">
        <v>45</v>
      </c>
      <c r="B28" s="4" t="s">
        <v>1788</v>
      </c>
      <c r="C28" s="4" t="s">
        <v>1789</v>
      </c>
      <c r="D28" s="4" t="s">
        <v>1790</v>
      </c>
      <c r="E28" s="6"/>
      <c r="F28" s="8" t="s">
        <v>1658</v>
      </c>
      <c r="G28" s="8" t="s">
        <v>1658</v>
      </c>
      <c r="H28" s="4" t="s">
        <v>1791</v>
      </c>
      <c r="I28" s="4" t="s">
        <v>1733</v>
      </c>
      <c r="J28" s="4" t="s">
        <v>1792</v>
      </c>
      <c r="K28" s="6" t="s">
        <v>1793</v>
      </c>
    </row>
    <row r="29" spans="1:11" ht="25.5" x14ac:dyDescent="0.3">
      <c r="A29" s="6" t="s">
        <v>47</v>
      </c>
      <c r="B29" s="4" t="s">
        <v>1794</v>
      </c>
      <c r="C29" s="4" t="s">
        <v>1795</v>
      </c>
      <c r="D29" s="4" t="s">
        <v>1796</v>
      </c>
      <c r="E29" s="8" t="s">
        <v>1658</v>
      </c>
      <c r="F29" s="6"/>
      <c r="G29" s="8" t="s">
        <v>1658</v>
      </c>
      <c r="H29" s="4" t="s">
        <v>1797</v>
      </c>
      <c r="I29" s="4" t="s">
        <v>1798</v>
      </c>
      <c r="J29" s="4" t="s">
        <v>1799</v>
      </c>
      <c r="K29" s="6" t="s">
        <v>1800</v>
      </c>
    </row>
    <row r="30" spans="1:11" x14ac:dyDescent="0.3">
      <c r="A30" s="6" t="s">
        <v>47</v>
      </c>
      <c r="B30" s="4" t="s">
        <v>601</v>
      </c>
      <c r="C30" s="4" t="s">
        <v>1801</v>
      </c>
      <c r="D30" s="4" t="s">
        <v>1802</v>
      </c>
      <c r="E30" s="6"/>
      <c r="F30" s="8" t="s">
        <v>1658</v>
      </c>
      <c r="G30" s="8" t="s">
        <v>1658</v>
      </c>
      <c r="H30" s="4" t="s">
        <v>1803</v>
      </c>
      <c r="I30" s="4" t="s">
        <v>1804</v>
      </c>
      <c r="J30" s="4" t="s">
        <v>1805</v>
      </c>
      <c r="K30" s="6" t="s">
        <v>1806</v>
      </c>
    </row>
    <row r="31" spans="1:11" ht="25.5" x14ac:dyDescent="0.3">
      <c r="A31" s="6" t="s">
        <v>47</v>
      </c>
      <c r="B31" s="4" t="s">
        <v>601</v>
      </c>
      <c r="C31" s="4" t="s">
        <v>1807</v>
      </c>
      <c r="D31" s="4" t="s">
        <v>1808</v>
      </c>
      <c r="E31" s="8" t="s">
        <v>1658</v>
      </c>
      <c r="F31" s="6"/>
      <c r="G31" s="6"/>
      <c r="H31" s="4" t="s">
        <v>1650</v>
      </c>
      <c r="I31" s="4" t="s">
        <v>1758</v>
      </c>
      <c r="J31" s="4" t="s">
        <v>1809</v>
      </c>
      <c r="K31" s="6" t="s">
        <v>1810</v>
      </c>
    </row>
    <row r="32" spans="1:11" x14ac:dyDescent="0.3">
      <c r="A32" s="6" t="s">
        <v>47</v>
      </c>
      <c r="B32" s="4" t="s">
        <v>1767</v>
      </c>
      <c r="C32" s="4" t="s">
        <v>1811</v>
      </c>
      <c r="D32" s="4" t="s">
        <v>1812</v>
      </c>
      <c r="E32" s="8" t="s">
        <v>1658</v>
      </c>
      <c r="F32" s="6"/>
      <c r="G32" s="6"/>
      <c r="H32" s="4" t="s">
        <v>1650</v>
      </c>
      <c r="I32" s="4" t="s">
        <v>1780</v>
      </c>
      <c r="J32" s="4" t="s">
        <v>1813</v>
      </c>
      <c r="K32" s="6" t="s">
        <v>1814</v>
      </c>
    </row>
    <row r="33" spans="1:11" x14ac:dyDescent="0.3">
      <c r="A33" s="6" t="s">
        <v>47</v>
      </c>
      <c r="B33" s="4" t="s">
        <v>645</v>
      </c>
      <c r="C33" s="4" t="s">
        <v>1815</v>
      </c>
      <c r="D33" s="4" t="s">
        <v>1816</v>
      </c>
      <c r="E33" s="8" t="s">
        <v>1658</v>
      </c>
      <c r="F33" s="6"/>
      <c r="G33" s="8" t="s">
        <v>1658</v>
      </c>
      <c r="H33" s="4" t="s">
        <v>1817</v>
      </c>
      <c r="I33" s="4" t="s">
        <v>1559</v>
      </c>
      <c r="J33" s="4" t="s">
        <v>1818</v>
      </c>
      <c r="K33" s="6" t="s">
        <v>1819</v>
      </c>
    </row>
    <row r="34" spans="1:11" x14ac:dyDescent="0.3">
      <c r="A34" s="6" t="s">
        <v>47</v>
      </c>
      <c r="B34" s="4" t="s">
        <v>634</v>
      </c>
      <c r="C34" s="4" t="s">
        <v>1820</v>
      </c>
      <c r="D34" s="4" t="s">
        <v>1821</v>
      </c>
      <c r="E34" s="8" t="s">
        <v>1658</v>
      </c>
      <c r="F34" s="6"/>
      <c r="G34" s="6"/>
      <c r="H34" s="4" t="s">
        <v>1822</v>
      </c>
      <c r="I34" s="4" t="s">
        <v>1823</v>
      </c>
      <c r="J34" s="4" t="s">
        <v>1824</v>
      </c>
      <c r="K34" s="6" t="s">
        <v>1578</v>
      </c>
    </row>
    <row r="35" spans="1:11" x14ac:dyDescent="0.3">
      <c r="A35" s="6" t="s">
        <v>47</v>
      </c>
      <c r="B35" s="4" t="s">
        <v>1825</v>
      </c>
      <c r="C35" s="4" t="s">
        <v>1826</v>
      </c>
      <c r="D35" s="4" t="s">
        <v>1827</v>
      </c>
      <c r="E35" s="8" t="s">
        <v>1658</v>
      </c>
      <c r="F35" s="6"/>
      <c r="G35" s="6"/>
      <c r="H35" s="4" t="s">
        <v>1650</v>
      </c>
      <c r="I35" s="4" t="s">
        <v>1828</v>
      </c>
      <c r="J35" s="4" t="s">
        <v>1829</v>
      </c>
      <c r="K35" s="6" t="s">
        <v>1574</v>
      </c>
    </row>
    <row r="36" spans="1:11" x14ac:dyDescent="0.3">
      <c r="A36" s="6" t="s">
        <v>47</v>
      </c>
      <c r="B36" s="4" t="s">
        <v>478</v>
      </c>
      <c r="C36" s="4" t="s">
        <v>1830</v>
      </c>
      <c r="D36" s="4" t="s">
        <v>1831</v>
      </c>
      <c r="E36" s="6"/>
      <c r="F36" s="8" t="s">
        <v>1658</v>
      </c>
      <c r="G36" s="6"/>
      <c r="H36" s="4" t="s">
        <v>59</v>
      </c>
      <c r="I36" s="4" t="s">
        <v>1785</v>
      </c>
      <c r="J36" s="4" t="s">
        <v>1832</v>
      </c>
      <c r="K36" s="6" t="s">
        <v>1833</v>
      </c>
    </row>
    <row r="37" spans="1:11" x14ac:dyDescent="0.3">
      <c r="A37" s="6" t="s">
        <v>47</v>
      </c>
      <c r="B37" s="4" t="s">
        <v>1834</v>
      </c>
      <c r="C37" s="4" t="s">
        <v>1835</v>
      </c>
      <c r="D37" s="4" t="s">
        <v>1836</v>
      </c>
      <c r="E37" s="8" t="s">
        <v>1658</v>
      </c>
      <c r="F37" s="6"/>
      <c r="G37" s="6"/>
      <c r="H37" s="4" t="s">
        <v>1650</v>
      </c>
      <c r="I37" s="4" t="s">
        <v>1837</v>
      </c>
      <c r="J37" s="4" t="s">
        <v>1838</v>
      </c>
      <c r="K37" s="6" t="s">
        <v>1585</v>
      </c>
    </row>
    <row r="38" spans="1:11" x14ac:dyDescent="0.3">
      <c r="A38" s="6" t="s">
        <v>47</v>
      </c>
      <c r="B38" s="4" t="s">
        <v>601</v>
      </c>
      <c r="C38" s="4" t="s">
        <v>1839</v>
      </c>
      <c r="D38" s="4" t="s">
        <v>1840</v>
      </c>
      <c r="E38" s="6"/>
      <c r="F38" s="6"/>
      <c r="G38" s="8" t="s">
        <v>1658</v>
      </c>
      <c r="H38" s="4" t="s">
        <v>1651</v>
      </c>
      <c r="I38" s="4" t="s">
        <v>1841</v>
      </c>
      <c r="J38" s="4" t="s">
        <v>1842</v>
      </c>
      <c r="K38" s="6" t="s">
        <v>1843</v>
      </c>
    </row>
    <row r="39" spans="1:11" ht="25.5" x14ac:dyDescent="0.3">
      <c r="A39" s="6" t="s">
        <v>48</v>
      </c>
      <c r="B39" s="4" t="s">
        <v>707</v>
      </c>
      <c r="C39" s="4" t="s">
        <v>1844</v>
      </c>
      <c r="D39" s="4" t="s">
        <v>1845</v>
      </c>
      <c r="E39" s="8" t="s">
        <v>1658</v>
      </c>
      <c r="F39" s="6"/>
      <c r="G39" s="6"/>
      <c r="H39" s="4" t="s">
        <v>1846</v>
      </c>
      <c r="I39" s="4" t="s">
        <v>1847</v>
      </c>
      <c r="J39" s="4" t="s">
        <v>1848</v>
      </c>
      <c r="K39" s="6" t="s">
        <v>1849</v>
      </c>
    </row>
    <row r="40" spans="1:11" x14ac:dyDescent="0.3">
      <c r="A40" s="6" t="s">
        <v>48</v>
      </c>
      <c r="B40" s="4" t="s">
        <v>707</v>
      </c>
      <c r="C40" s="4" t="s">
        <v>1850</v>
      </c>
      <c r="D40" s="4" t="s">
        <v>1851</v>
      </c>
      <c r="E40" s="8" t="s">
        <v>1658</v>
      </c>
      <c r="F40" s="6"/>
      <c r="G40" s="6"/>
      <c r="H40" s="4" t="s">
        <v>1650</v>
      </c>
      <c r="I40" s="4" t="s">
        <v>79</v>
      </c>
      <c r="J40" s="4" t="s">
        <v>1852</v>
      </c>
      <c r="K40" s="6" t="s">
        <v>1554</v>
      </c>
    </row>
    <row r="41" spans="1:11" x14ac:dyDescent="0.3">
      <c r="A41" s="6" t="s">
        <v>48</v>
      </c>
      <c r="B41" s="4" t="s">
        <v>707</v>
      </c>
      <c r="C41" s="4" t="s">
        <v>1853</v>
      </c>
      <c r="D41" s="4" t="s">
        <v>1854</v>
      </c>
      <c r="E41" s="8" t="s">
        <v>1658</v>
      </c>
      <c r="F41" s="6"/>
      <c r="G41" s="6"/>
      <c r="H41" s="4" t="s">
        <v>1855</v>
      </c>
      <c r="I41" s="4" t="s">
        <v>1856</v>
      </c>
      <c r="J41" s="4" t="s">
        <v>1857</v>
      </c>
      <c r="K41" s="6" t="s">
        <v>1858</v>
      </c>
    </row>
    <row r="42" spans="1:11" x14ac:dyDescent="0.3">
      <c r="A42" s="6" t="s">
        <v>48</v>
      </c>
      <c r="B42" s="4" t="s">
        <v>707</v>
      </c>
      <c r="C42" s="4" t="s">
        <v>1859</v>
      </c>
      <c r="D42" s="4" t="s">
        <v>1860</v>
      </c>
      <c r="E42" s="6"/>
      <c r="F42" s="8" t="s">
        <v>1658</v>
      </c>
      <c r="G42" s="8" t="s">
        <v>1658</v>
      </c>
      <c r="H42" s="4" t="s">
        <v>1861</v>
      </c>
      <c r="I42" s="4" t="s">
        <v>1862</v>
      </c>
      <c r="J42" s="4" t="s">
        <v>1863</v>
      </c>
      <c r="K42" s="6" t="s">
        <v>1864</v>
      </c>
    </row>
    <row r="43" spans="1:11" x14ac:dyDescent="0.3">
      <c r="A43" s="6" t="s">
        <v>48</v>
      </c>
      <c r="B43" s="4" t="s">
        <v>731</v>
      </c>
      <c r="C43" s="4" t="s">
        <v>1865</v>
      </c>
      <c r="D43" s="4" t="s">
        <v>1866</v>
      </c>
      <c r="E43" s="8" t="s">
        <v>1658</v>
      </c>
      <c r="F43" s="6"/>
      <c r="G43" s="6"/>
      <c r="H43" s="4" t="s">
        <v>1650</v>
      </c>
      <c r="I43" s="4" t="s">
        <v>1867</v>
      </c>
      <c r="J43" s="4" t="s">
        <v>1868</v>
      </c>
      <c r="K43" s="6" t="s">
        <v>1554</v>
      </c>
    </row>
    <row r="44" spans="1:11" x14ac:dyDescent="0.3">
      <c r="A44" s="6" t="s">
        <v>48</v>
      </c>
      <c r="B44" s="4" t="s">
        <v>1869</v>
      </c>
      <c r="C44" s="4" t="s">
        <v>1870</v>
      </c>
      <c r="D44" s="4" t="s">
        <v>1871</v>
      </c>
      <c r="E44" s="8" t="s">
        <v>1658</v>
      </c>
      <c r="F44" s="6"/>
      <c r="G44" s="8" t="s">
        <v>1658</v>
      </c>
      <c r="H44" s="4" t="s">
        <v>1872</v>
      </c>
      <c r="I44" s="4" t="s">
        <v>1559</v>
      </c>
      <c r="J44" s="4" t="s">
        <v>1873</v>
      </c>
      <c r="K44" s="6" t="s">
        <v>1595</v>
      </c>
    </row>
    <row r="45" spans="1:11" x14ac:dyDescent="0.3">
      <c r="A45" s="6" t="s">
        <v>48</v>
      </c>
      <c r="B45" s="4" t="s">
        <v>1874</v>
      </c>
      <c r="C45" s="4" t="s">
        <v>1875</v>
      </c>
      <c r="D45" s="4" t="s">
        <v>1876</v>
      </c>
      <c r="E45" s="8" t="s">
        <v>1658</v>
      </c>
      <c r="F45" s="6"/>
      <c r="G45" s="6"/>
      <c r="H45" s="4" t="s">
        <v>1650</v>
      </c>
      <c r="I45" s="4" t="s">
        <v>79</v>
      </c>
      <c r="J45" s="4" t="s">
        <v>1877</v>
      </c>
      <c r="K45" s="6" t="s">
        <v>1599</v>
      </c>
    </row>
    <row r="46" spans="1:11" ht="25.5" x14ac:dyDescent="0.3">
      <c r="A46" s="6" t="s">
        <v>49</v>
      </c>
      <c r="B46" s="4" t="s">
        <v>601</v>
      </c>
      <c r="C46" s="4" t="s">
        <v>1878</v>
      </c>
      <c r="D46" s="4" t="s">
        <v>1879</v>
      </c>
      <c r="E46" s="6"/>
      <c r="F46" s="8" t="s">
        <v>1658</v>
      </c>
      <c r="G46" s="8" t="s">
        <v>1658</v>
      </c>
      <c r="H46" s="4" t="s">
        <v>1880</v>
      </c>
      <c r="I46" s="4" t="s">
        <v>1881</v>
      </c>
      <c r="J46" s="4" t="s">
        <v>1882</v>
      </c>
      <c r="K46" s="6" t="s">
        <v>1883</v>
      </c>
    </row>
    <row r="47" spans="1:11" x14ac:dyDescent="0.3">
      <c r="A47" s="6" t="s">
        <v>49</v>
      </c>
      <c r="B47" s="4" t="s">
        <v>645</v>
      </c>
      <c r="C47" s="4" t="s">
        <v>1884</v>
      </c>
      <c r="D47" s="4" t="s">
        <v>1885</v>
      </c>
      <c r="E47" s="8" t="s">
        <v>1658</v>
      </c>
      <c r="F47" s="6"/>
      <c r="G47" s="6"/>
      <c r="H47" s="4" t="s">
        <v>1650</v>
      </c>
      <c r="I47" s="4" t="s">
        <v>1886</v>
      </c>
      <c r="J47" s="4" t="s">
        <v>1887</v>
      </c>
      <c r="K47" s="6" t="s">
        <v>1888</v>
      </c>
    </row>
    <row r="48" spans="1:11" x14ac:dyDescent="0.3">
      <c r="A48" s="6" t="s">
        <v>49</v>
      </c>
      <c r="B48" s="4" t="s">
        <v>1767</v>
      </c>
      <c r="C48" s="4" t="s">
        <v>1889</v>
      </c>
      <c r="D48" s="4" t="s">
        <v>1890</v>
      </c>
      <c r="E48" s="8" t="s">
        <v>1658</v>
      </c>
      <c r="F48" s="6"/>
      <c r="G48" s="6"/>
      <c r="H48" s="4" t="s">
        <v>1650</v>
      </c>
      <c r="I48" s="4" t="s">
        <v>1780</v>
      </c>
      <c r="J48" s="4" t="s">
        <v>1891</v>
      </c>
      <c r="K48" s="6" t="s">
        <v>1892</v>
      </c>
    </row>
    <row r="49" spans="1:11" x14ac:dyDescent="0.3">
      <c r="A49" s="6" t="s">
        <v>49</v>
      </c>
      <c r="B49" s="4" t="s">
        <v>645</v>
      </c>
      <c r="C49" s="4" t="s">
        <v>1893</v>
      </c>
      <c r="D49" s="4" t="s">
        <v>1894</v>
      </c>
      <c r="E49" s="8" t="s">
        <v>1658</v>
      </c>
      <c r="F49" s="6"/>
      <c r="G49" s="8" t="s">
        <v>1658</v>
      </c>
      <c r="H49" s="4" t="s">
        <v>1895</v>
      </c>
      <c r="I49" s="4" t="s">
        <v>1780</v>
      </c>
      <c r="J49" s="4" t="s">
        <v>1896</v>
      </c>
      <c r="K49" s="6" t="s">
        <v>1888</v>
      </c>
    </row>
    <row r="50" spans="1:11" x14ac:dyDescent="0.3">
      <c r="A50" s="6" t="s">
        <v>49</v>
      </c>
      <c r="B50" s="4" t="s">
        <v>601</v>
      </c>
      <c r="C50" s="4" t="s">
        <v>1897</v>
      </c>
      <c r="D50" s="4" t="s">
        <v>1898</v>
      </c>
      <c r="E50" s="8" t="s">
        <v>1658</v>
      </c>
      <c r="F50" s="6"/>
      <c r="G50" s="6"/>
      <c r="H50" s="4" t="s">
        <v>1650</v>
      </c>
      <c r="I50" s="4" t="s">
        <v>1899</v>
      </c>
      <c r="J50" s="4" t="s">
        <v>1900</v>
      </c>
      <c r="K50" s="6" t="s">
        <v>1554</v>
      </c>
    </row>
    <row r="51" spans="1:11" x14ac:dyDescent="0.3">
      <c r="A51" s="6" t="s">
        <v>49</v>
      </c>
      <c r="B51" s="4" t="s">
        <v>1901</v>
      </c>
      <c r="C51" s="4" t="s">
        <v>1902</v>
      </c>
      <c r="D51" s="4" t="s">
        <v>1903</v>
      </c>
      <c r="E51" s="8" t="s">
        <v>1658</v>
      </c>
      <c r="F51" s="8" t="s">
        <v>1658</v>
      </c>
      <c r="G51" s="6"/>
      <c r="H51" s="4" t="s">
        <v>1904</v>
      </c>
      <c r="I51" s="4" t="s">
        <v>1828</v>
      </c>
      <c r="J51" s="4" t="s">
        <v>1905</v>
      </c>
      <c r="K51" s="6" t="s">
        <v>1606</v>
      </c>
    </row>
    <row r="52" spans="1:11" x14ac:dyDescent="0.3">
      <c r="A52" s="6" t="s">
        <v>49</v>
      </c>
      <c r="B52" s="4" t="s">
        <v>624</v>
      </c>
      <c r="C52" s="4" t="s">
        <v>1906</v>
      </c>
      <c r="D52" s="4" t="s">
        <v>1907</v>
      </c>
      <c r="E52" s="8" t="s">
        <v>1658</v>
      </c>
      <c r="F52" s="6"/>
      <c r="G52" s="6"/>
      <c r="H52" s="4" t="s">
        <v>1650</v>
      </c>
      <c r="I52" s="4" t="s">
        <v>1559</v>
      </c>
      <c r="J52" s="4" t="s">
        <v>1908</v>
      </c>
      <c r="K52" s="6" t="s">
        <v>1909</v>
      </c>
    </row>
    <row r="53" spans="1:11" ht="38.25" x14ac:dyDescent="0.3">
      <c r="A53" s="6" t="s">
        <v>54</v>
      </c>
      <c r="B53" s="4" t="s">
        <v>1910</v>
      </c>
      <c r="C53" s="4" t="s">
        <v>1911</v>
      </c>
      <c r="D53" s="4" t="s">
        <v>1912</v>
      </c>
      <c r="E53" s="8" t="s">
        <v>1658</v>
      </c>
      <c r="F53" s="6"/>
      <c r="G53" s="6"/>
      <c r="H53" s="4" t="s">
        <v>1913</v>
      </c>
      <c r="I53" s="4" t="s">
        <v>1914</v>
      </c>
      <c r="J53" s="4" t="s">
        <v>1915</v>
      </c>
      <c r="K53" s="6" t="s">
        <v>1916</v>
      </c>
    </row>
    <row r="54" spans="1:11" ht="25.5" x14ac:dyDescent="0.3">
      <c r="A54" s="6" t="s">
        <v>52</v>
      </c>
      <c r="B54" s="4" t="s">
        <v>1917</v>
      </c>
      <c r="C54" s="4" t="s">
        <v>1918</v>
      </c>
      <c r="D54" s="4" t="s">
        <v>1919</v>
      </c>
      <c r="E54" s="8" t="s">
        <v>1658</v>
      </c>
      <c r="F54" s="8" t="s">
        <v>1658</v>
      </c>
      <c r="G54" s="6"/>
      <c r="H54" s="4" t="s">
        <v>1920</v>
      </c>
      <c r="I54" s="4" t="s">
        <v>1921</v>
      </c>
      <c r="J54" s="4" t="s">
        <v>1922</v>
      </c>
      <c r="K54" s="6" t="s">
        <v>1916</v>
      </c>
    </row>
    <row r="55" spans="1:11" ht="25.5" x14ac:dyDescent="0.3">
      <c r="A55" s="6" t="s">
        <v>51</v>
      </c>
      <c r="B55" s="4" t="s">
        <v>997</v>
      </c>
      <c r="C55" s="4" t="s">
        <v>1923</v>
      </c>
      <c r="D55" s="4" t="s">
        <v>1924</v>
      </c>
      <c r="E55" s="8" t="s">
        <v>1658</v>
      </c>
      <c r="F55" s="6"/>
      <c r="G55" s="6"/>
      <c r="H55" s="4" t="s">
        <v>1925</v>
      </c>
      <c r="I55" s="4" t="s">
        <v>1926</v>
      </c>
      <c r="J55" s="4" t="s">
        <v>1927</v>
      </c>
      <c r="K55" s="6" t="s">
        <v>1916</v>
      </c>
    </row>
  </sheetData>
  <autoFilter ref="A5:K55" xr:uid="{00000000-0009-0000-0000-000007000000}"/>
  <mergeCells count="1">
    <mergeCell ref="A2:K2"/>
  </mergeCells>
  <phoneticPr fontId="8" type="noConversion"/>
  <pageMargins left="0.75" right="0.75" top="1" bottom="1" header="0.5" footer="0.5"/>
  <pageSetup fitToHeight="0"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D37"/>
  <sheetViews>
    <sheetView showGridLines="0" workbookViewId="0">
      <pane xSplit="2" ySplit="5" topLeftCell="C6" activePane="bottomRight" state="frozen"/>
      <selection pane="topRight"/>
      <selection pane="bottomLeft"/>
      <selection pane="bottomRight"/>
    </sheetView>
  </sheetViews>
  <sheetFormatPr defaultRowHeight="16.5" x14ac:dyDescent="0.3"/>
  <cols>
    <col min="1" max="1" width="10" customWidth="1"/>
    <col min="2" max="2" width="30" customWidth="1"/>
    <col min="3" max="3" width="80" customWidth="1"/>
    <col min="4" max="4" width="16" customWidth="1"/>
  </cols>
  <sheetData>
    <row r="1" spans="1:4" ht="30" customHeight="1" x14ac:dyDescent="0.3">
      <c r="A1" s="1" t="s">
        <v>1928</v>
      </c>
    </row>
    <row r="2" spans="1:4" ht="33.950000000000003" customHeight="1" x14ac:dyDescent="0.3">
      <c r="A2" s="10" t="s">
        <v>1929</v>
      </c>
      <c r="B2" s="11"/>
      <c r="C2" s="11"/>
      <c r="D2" s="11"/>
    </row>
    <row r="3" spans="1:4" x14ac:dyDescent="0.3">
      <c r="A3" s="2" t="s">
        <v>2</v>
      </c>
    </row>
    <row r="5" spans="1:4" ht="26.1" customHeight="1" x14ac:dyDescent="0.3">
      <c r="A5" s="3" t="s">
        <v>1930</v>
      </c>
      <c r="B5" s="3" t="s">
        <v>1931</v>
      </c>
      <c r="C5" s="3" t="s">
        <v>4</v>
      </c>
      <c r="D5" s="3" t="s">
        <v>29</v>
      </c>
    </row>
    <row r="6" spans="1:4" x14ac:dyDescent="0.3">
      <c r="A6" s="6" t="s">
        <v>58</v>
      </c>
      <c r="B6" s="4" t="s">
        <v>1932</v>
      </c>
      <c r="C6" s="4" t="s">
        <v>1933</v>
      </c>
      <c r="D6" s="6" t="s">
        <v>1934</v>
      </c>
    </row>
    <row r="7" spans="1:4" x14ac:dyDescent="0.3">
      <c r="A7" s="6" t="s">
        <v>58</v>
      </c>
      <c r="B7" s="4" t="s">
        <v>1935</v>
      </c>
      <c r="C7" s="4" t="s">
        <v>1936</v>
      </c>
      <c r="D7" s="6" t="s">
        <v>1937</v>
      </c>
    </row>
    <row r="8" spans="1:4" x14ac:dyDescent="0.3">
      <c r="A8" s="6" t="s">
        <v>58</v>
      </c>
      <c r="B8" s="4" t="s">
        <v>1938</v>
      </c>
      <c r="C8" s="4" t="s">
        <v>1939</v>
      </c>
      <c r="D8" s="6" t="s">
        <v>1940</v>
      </c>
    </row>
    <row r="9" spans="1:4" x14ac:dyDescent="0.3">
      <c r="A9" s="6" t="s">
        <v>58</v>
      </c>
      <c r="B9" s="4" t="s">
        <v>1941</v>
      </c>
      <c r="C9" s="4" t="s">
        <v>1942</v>
      </c>
      <c r="D9" s="6" t="s">
        <v>1667</v>
      </c>
    </row>
    <row r="10" spans="1:4" x14ac:dyDescent="0.3">
      <c r="A10" s="6" t="s">
        <v>58</v>
      </c>
      <c r="B10" s="4" t="s">
        <v>1943</v>
      </c>
      <c r="C10" s="4" t="s">
        <v>1944</v>
      </c>
      <c r="D10" s="6" t="s">
        <v>1945</v>
      </c>
    </row>
    <row r="11" spans="1:4" x14ac:dyDescent="0.3">
      <c r="A11" s="6" t="s">
        <v>58</v>
      </c>
      <c r="B11" s="4" t="s">
        <v>1946</v>
      </c>
      <c r="C11" s="4" t="s">
        <v>1947</v>
      </c>
      <c r="D11" s="6" t="s">
        <v>1940</v>
      </c>
    </row>
    <row r="12" spans="1:4" x14ac:dyDescent="0.3">
      <c r="A12" s="6" t="s">
        <v>58</v>
      </c>
      <c r="B12" s="4" t="s">
        <v>1948</v>
      </c>
      <c r="C12" s="4" t="s">
        <v>1949</v>
      </c>
      <c r="D12" s="6" t="s">
        <v>1950</v>
      </c>
    </row>
    <row r="13" spans="1:4" x14ac:dyDescent="0.3">
      <c r="A13" s="6" t="s">
        <v>58</v>
      </c>
      <c r="B13" s="4" t="s">
        <v>1951</v>
      </c>
      <c r="C13" s="4" t="s">
        <v>1952</v>
      </c>
      <c r="D13" s="6" t="s">
        <v>1953</v>
      </c>
    </row>
    <row r="14" spans="1:4" x14ac:dyDescent="0.3">
      <c r="A14" s="6" t="s">
        <v>58</v>
      </c>
      <c r="B14" s="4" t="s">
        <v>1954</v>
      </c>
      <c r="C14" s="4" t="s">
        <v>1955</v>
      </c>
      <c r="D14" s="6" t="s">
        <v>1956</v>
      </c>
    </row>
    <row r="15" spans="1:4" x14ac:dyDescent="0.3">
      <c r="A15" s="6" t="s">
        <v>58</v>
      </c>
      <c r="B15" s="4" t="s">
        <v>1957</v>
      </c>
      <c r="C15" s="4" t="s">
        <v>1958</v>
      </c>
      <c r="D15" s="6" t="s">
        <v>1959</v>
      </c>
    </row>
    <row r="16" spans="1:4" x14ac:dyDescent="0.3">
      <c r="A16" s="6" t="s">
        <v>58</v>
      </c>
      <c r="B16" s="4" t="s">
        <v>1960</v>
      </c>
      <c r="C16" s="4" t="s">
        <v>1961</v>
      </c>
      <c r="D16" s="6" t="s">
        <v>1962</v>
      </c>
    </row>
    <row r="17" spans="1:4" x14ac:dyDescent="0.3">
      <c r="A17" s="6" t="s">
        <v>58</v>
      </c>
      <c r="B17" s="4" t="s">
        <v>1963</v>
      </c>
      <c r="C17" s="4" t="s">
        <v>1964</v>
      </c>
      <c r="D17" s="6" t="s">
        <v>1934</v>
      </c>
    </row>
    <row r="18" spans="1:4" ht="25.5" x14ac:dyDescent="0.3">
      <c r="A18" s="6" t="s">
        <v>58</v>
      </c>
      <c r="B18" s="4" t="s">
        <v>1965</v>
      </c>
      <c r="C18" s="4" t="s">
        <v>1966</v>
      </c>
      <c r="D18" s="6" t="s">
        <v>1967</v>
      </c>
    </row>
    <row r="19" spans="1:4" x14ac:dyDescent="0.3">
      <c r="A19" s="6" t="s">
        <v>58</v>
      </c>
      <c r="B19" s="4" t="s">
        <v>1968</v>
      </c>
      <c r="C19" s="4" t="s">
        <v>1969</v>
      </c>
      <c r="D19" s="6" t="s">
        <v>1934</v>
      </c>
    </row>
    <row r="20" spans="1:4" x14ac:dyDescent="0.3">
      <c r="A20" s="6" t="s">
        <v>59</v>
      </c>
      <c r="B20" s="4" t="s">
        <v>1970</v>
      </c>
      <c r="C20" s="4" t="s">
        <v>1971</v>
      </c>
      <c r="D20" s="6" t="s">
        <v>1972</v>
      </c>
    </row>
    <row r="21" spans="1:4" x14ac:dyDescent="0.3">
      <c r="A21" s="6" t="s">
        <v>59</v>
      </c>
      <c r="B21" s="4" t="s">
        <v>1973</v>
      </c>
      <c r="C21" s="4" t="s">
        <v>1974</v>
      </c>
      <c r="D21" s="6" t="s">
        <v>1975</v>
      </c>
    </row>
    <row r="22" spans="1:4" x14ac:dyDescent="0.3">
      <c r="A22" s="6" t="s">
        <v>59</v>
      </c>
      <c r="B22" s="4" t="s">
        <v>1976</v>
      </c>
      <c r="C22" s="4" t="s">
        <v>1977</v>
      </c>
      <c r="D22" s="6" t="s">
        <v>1747</v>
      </c>
    </row>
    <row r="23" spans="1:4" x14ac:dyDescent="0.3">
      <c r="A23" s="6" t="s">
        <v>59</v>
      </c>
      <c r="B23" s="4" t="s">
        <v>1978</v>
      </c>
      <c r="C23" s="4" t="s">
        <v>1979</v>
      </c>
      <c r="D23" s="6" t="s">
        <v>1980</v>
      </c>
    </row>
    <row r="24" spans="1:4" x14ac:dyDescent="0.3">
      <c r="A24" s="6" t="s">
        <v>59</v>
      </c>
      <c r="B24" s="4" t="s">
        <v>1981</v>
      </c>
      <c r="C24" s="4" t="s">
        <v>1982</v>
      </c>
      <c r="D24" s="6" t="s">
        <v>1864</v>
      </c>
    </row>
    <row r="25" spans="1:4" x14ac:dyDescent="0.3">
      <c r="A25" s="6" t="s">
        <v>59</v>
      </c>
      <c r="B25" s="4" t="s">
        <v>1983</v>
      </c>
      <c r="C25" s="4" t="s">
        <v>1984</v>
      </c>
      <c r="D25" s="6" t="s">
        <v>1985</v>
      </c>
    </row>
    <row r="26" spans="1:4" x14ac:dyDescent="0.3">
      <c r="A26" s="6" t="s">
        <v>59</v>
      </c>
      <c r="B26" s="4" t="s">
        <v>1986</v>
      </c>
      <c r="C26" s="4" t="s">
        <v>1987</v>
      </c>
      <c r="D26" s="6" t="s">
        <v>1988</v>
      </c>
    </row>
    <row r="27" spans="1:4" x14ac:dyDescent="0.3">
      <c r="A27" s="6" t="s">
        <v>60</v>
      </c>
      <c r="B27" s="4" t="s">
        <v>1989</v>
      </c>
      <c r="C27" s="4" t="s">
        <v>1990</v>
      </c>
      <c r="D27" s="6" t="s">
        <v>1991</v>
      </c>
    </row>
    <row r="28" spans="1:4" x14ac:dyDescent="0.3">
      <c r="A28" s="6" t="s">
        <v>60</v>
      </c>
      <c r="B28" s="4" t="s">
        <v>1992</v>
      </c>
      <c r="C28" s="4" t="s">
        <v>1993</v>
      </c>
      <c r="D28" s="6" t="s">
        <v>1994</v>
      </c>
    </row>
    <row r="29" spans="1:4" x14ac:dyDescent="0.3">
      <c r="A29" s="6" t="s">
        <v>60</v>
      </c>
      <c r="B29" s="4" t="s">
        <v>1995</v>
      </c>
      <c r="C29" s="4" t="s">
        <v>1996</v>
      </c>
      <c r="D29" s="6" t="s">
        <v>1997</v>
      </c>
    </row>
    <row r="30" spans="1:4" x14ac:dyDescent="0.3">
      <c r="A30" s="6" t="s">
        <v>60</v>
      </c>
      <c r="B30" s="4" t="s">
        <v>1998</v>
      </c>
      <c r="C30" s="4" t="s">
        <v>1999</v>
      </c>
      <c r="D30" s="6" t="s">
        <v>2000</v>
      </c>
    </row>
    <row r="31" spans="1:4" x14ac:dyDescent="0.3">
      <c r="A31" s="6" t="s">
        <v>60</v>
      </c>
      <c r="B31" s="4" t="s">
        <v>2001</v>
      </c>
      <c r="C31" s="4" t="s">
        <v>2002</v>
      </c>
      <c r="D31" s="6" t="s">
        <v>2003</v>
      </c>
    </row>
    <row r="32" spans="1:4" x14ac:dyDescent="0.3">
      <c r="A32" s="6" t="s">
        <v>60</v>
      </c>
      <c r="B32" s="4" t="s">
        <v>2004</v>
      </c>
      <c r="C32" s="4" t="s">
        <v>2005</v>
      </c>
      <c r="D32" s="6" t="s">
        <v>2006</v>
      </c>
    </row>
    <row r="33" spans="1:4" x14ac:dyDescent="0.3">
      <c r="A33" s="6" t="s">
        <v>60</v>
      </c>
      <c r="B33" s="4" t="s">
        <v>2007</v>
      </c>
      <c r="C33" s="4" t="s">
        <v>2008</v>
      </c>
      <c r="D33" s="6" t="s">
        <v>2009</v>
      </c>
    </row>
    <row r="34" spans="1:4" x14ac:dyDescent="0.3">
      <c r="A34" s="6" t="s">
        <v>60</v>
      </c>
      <c r="B34" s="4" t="s">
        <v>2010</v>
      </c>
      <c r="C34" s="4" t="s">
        <v>2011</v>
      </c>
      <c r="D34" s="6" t="s">
        <v>2012</v>
      </c>
    </row>
    <row r="35" spans="1:4" x14ac:dyDescent="0.3">
      <c r="A35" s="6" t="s">
        <v>2013</v>
      </c>
      <c r="B35" s="4" t="s">
        <v>2014</v>
      </c>
      <c r="C35" s="4" t="s">
        <v>2015</v>
      </c>
      <c r="D35" s="6" t="s">
        <v>1934</v>
      </c>
    </row>
    <row r="36" spans="1:4" x14ac:dyDescent="0.3">
      <c r="A36" s="6" t="s">
        <v>2013</v>
      </c>
      <c r="B36" s="4" t="s">
        <v>2016</v>
      </c>
      <c r="C36" s="4" t="s">
        <v>2017</v>
      </c>
      <c r="D36" s="6" t="s">
        <v>1771</v>
      </c>
    </row>
    <row r="37" spans="1:4" x14ac:dyDescent="0.3">
      <c r="A37" s="6" t="s">
        <v>2013</v>
      </c>
      <c r="B37" s="4" t="s">
        <v>2018</v>
      </c>
      <c r="C37" s="4" t="s">
        <v>2019</v>
      </c>
      <c r="D37" s="6" t="s">
        <v>2020</v>
      </c>
    </row>
  </sheetData>
  <autoFilter ref="A5:D37" xr:uid="{00000000-0009-0000-0000-000008000000}"/>
  <mergeCells count="1">
    <mergeCell ref="A2:D2"/>
  </mergeCells>
  <phoneticPr fontId="8" type="noConversion"/>
  <pageMargins left="0.75" right="0.75" top="1" bottom="1" header="0.5" footer="0.5"/>
  <pageSetup fitToHeight="0"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K136"/>
  <sheetViews>
    <sheetView showGridLines="0" workbookViewId="0">
      <pane xSplit="2" ySplit="5" topLeftCell="C6" activePane="bottomRight" state="frozen"/>
      <selection pane="topRight"/>
      <selection pane="bottomLeft"/>
      <selection pane="bottomRight"/>
    </sheetView>
  </sheetViews>
  <sheetFormatPr defaultRowHeight="16.5" x14ac:dyDescent="0.3"/>
  <cols>
    <col min="1" max="1" width="12" customWidth="1"/>
    <col min="2" max="2" width="26" customWidth="1"/>
    <col min="3" max="4" width="36" customWidth="1"/>
    <col min="5" max="5" width="50" customWidth="1"/>
    <col min="6" max="6" width="36" customWidth="1"/>
    <col min="7" max="8" width="40" customWidth="1"/>
    <col min="9" max="9" width="36" customWidth="1"/>
    <col min="10" max="10" width="12" customWidth="1"/>
    <col min="11" max="11" width="8" customWidth="1"/>
  </cols>
  <sheetData>
    <row r="1" spans="1:11" ht="30" customHeight="1" x14ac:dyDescent="0.3">
      <c r="A1" s="1" t="s">
        <v>2021</v>
      </c>
    </row>
    <row r="2" spans="1:11" ht="33.950000000000003" customHeight="1" x14ac:dyDescent="0.3">
      <c r="A2" s="10" t="s">
        <v>2022</v>
      </c>
      <c r="B2" s="11"/>
      <c r="C2" s="11"/>
      <c r="D2" s="11"/>
      <c r="E2" s="11"/>
      <c r="F2" s="11"/>
      <c r="G2" s="11"/>
      <c r="H2" s="11"/>
      <c r="I2" s="11"/>
      <c r="J2" s="11"/>
      <c r="K2" s="11"/>
    </row>
    <row r="3" spans="1:11" x14ac:dyDescent="0.3">
      <c r="A3" s="2" t="s">
        <v>2</v>
      </c>
    </row>
    <row r="5" spans="1:11" ht="26.1" customHeight="1" x14ac:dyDescent="0.3">
      <c r="A5" s="3" t="s">
        <v>39</v>
      </c>
      <c r="B5" s="3" t="s">
        <v>2023</v>
      </c>
      <c r="C5" s="3" t="s">
        <v>2024</v>
      </c>
      <c r="D5" s="3" t="s">
        <v>2025</v>
      </c>
      <c r="E5" s="3" t="s">
        <v>2026</v>
      </c>
      <c r="F5" s="3" t="s">
        <v>2027</v>
      </c>
      <c r="G5" s="3" t="s">
        <v>2028</v>
      </c>
      <c r="H5" s="3" t="s">
        <v>2029</v>
      </c>
      <c r="I5" s="3" t="s">
        <v>2030</v>
      </c>
      <c r="J5" s="3" t="s">
        <v>2031</v>
      </c>
      <c r="K5" s="3" t="s">
        <v>2032</v>
      </c>
    </row>
    <row r="6" spans="1:11" ht="76.5" x14ac:dyDescent="0.3">
      <c r="A6" s="6" t="s">
        <v>44</v>
      </c>
      <c r="B6" s="4" t="s">
        <v>2033</v>
      </c>
      <c r="C6" s="4" t="s">
        <v>2034</v>
      </c>
      <c r="D6" s="4" t="s">
        <v>2035</v>
      </c>
      <c r="E6" s="4" t="s">
        <v>2036</v>
      </c>
      <c r="F6" s="4" t="s">
        <v>2037</v>
      </c>
      <c r="G6" s="4" t="s">
        <v>2038</v>
      </c>
      <c r="H6" s="4" t="s">
        <v>2039</v>
      </c>
      <c r="I6" s="4" t="s">
        <v>2040</v>
      </c>
      <c r="J6" s="6" t="s">
        <v>2041</v>
      </c>
      <c r="K6" s="6" t="s">
        <v>2042</v>
      </c>
    </row>
    <row r="7" spans="1:11" ht="51" x14ac:dyDescent="0.3">
      <c r="A7" s="6" t="s">
        <v>44</v>
      </c>
      <c r="B7" s="4" t="s">
        <v>2043</v>
      </c>
      <c r="C7" s="4" t="s">
        <v>2044</v>
      </c>
      <c r="D7" s="4" t="s">
        <v>2045</v>
      </c>
      <c r="E7" s="4" t="s">
        <v>2046</v>
      </c>
      <c r="F7" s="4" t="s">
        <v>2047</v>
      </c>
      <c r="G7" s="4" t="s">
        <v>2048</v>
      </c>
      <c r="H7" s="4" t="s">
        <v>2049</v>
      </c>
      <c r="I7" s="4" t="s">
        <v>2050</v>
      </c>
      <c r="J7" s="6" t="s">
        <v>2041</v>
      </c>
      <c r="K7" s="6" t="s">
        <v>2051</v>
      </c>
    </row>
    <row r="8" spans="1:11" ht="63.75" x14ac:dyDescent="0.3">
      <c r="A8" s="6" t="s">
        <v>44</v>
      </c>
      <c r="B8" s="4" t="s">
        <v>2052</v>
      </c>
      <c r="C8" s="4" t="s">
        <v>2053</v>
      </c>
      <c r="D8" s="4" t="s">
        <v>2054</v>
      </c>
      <c r="E8" s="4" t="s">
        <v>2055</v>
      </c>
      <c r="F8" s="4" t="s">
        <v>2056</v>
      </c>
      <c r="G8" s="4" t="s">
        <v>2057</v>
      </c>
      <c r="H8" s="4" t="s">
        <v>2058</v>
      </c>
      <c r="I8" s="4" t="s">
        <v>2059</v>
      </c>
      <c r="J8" s="6" t="s">
        <v>2060</v>
      </c>
      <c r="K8" s="6" t="s">
        <v>2042</v>
      </c>
    </row>
    <row r="9" spans="1:11" ht="76.5" x14ac:dyDescent="0.3">
      <c r="A9" s="6" t="s">
        <v>44</v>
      </c>
      <c r="B9" s="4" t="s">
        <v>2061</v>
      </c>
      <c r="C9" s="4" t="s">
        <v>2062</v>
      </c>
      <c r="D9" s="4" t="s">
        <v>2063</v>
      </c>
      <c r="E9" s="4" t="s">
        <v>2064</v>
      </c>
      <c r="F9" s="4" t="s">
        <v>2065</v>
      </c>
      <c r="G9" s="4" t="s">
        <v>2066</v>
      </c>
      <c r="H9" s="4" t="s">
        <v>2067</v>
      </c>
      <c r="I9" s="4" t="s">
        <v>2068</v>
      </c>
      <c r="J9" s="6" t="s">
        <v>2041</v>
      </c>
      <c r="K9" s="6" t="s">
        <v>2042</v>
      </c>
    </row>
    <row r="10" spans="1:11" ht="63.75" x14ac:dyDescent="0.3">
      <c r="A10" s="6" t="s">
        <v>44</v>
      </c>
      <c r="B10" s="4" t="s">
        <v>2069</v>
      </c>
      <c r="C10" s="4" t="s">
        <v>2070</v>
      </c>
      <c r="D10" s="4" t="s">
        <v>2071</v>
      </c>
      <c r="E10" s="4" t="s">
        <v>2072</v>
      </c>
      <c r="F10" s="4" t="s">
        <v>2073</v>
      </c>
      <c r="G10" s="4" t="s">
        <v>2074</v>
      </c>
      <c r="H10" s="4" t="s">
        <v>2075</v>
      </c>
      <c r="I10" s="4" t="s">
        <v>2076</v>
      </c>
      <c r="J10" s="6" t="s">
        <v>2041</v>
      </c>
      <c r="K10" s="6" t="s">
        <v>2042</v>
      </c>
    </row>
    <row r="11" spans="1:11" ht="63.75" x14ac:dyDescent="0.3">
      <c r="A11" s="6" t="s">
        <v>44</v>
      </c>
      <c r="B11" s="4" t="s">
        <v>2077</v>
      </c>
      <c r="C11" s="4" t="s">
        <v>2078</v>
      </c>
      <c r="D11" s="4" t="s">
        <v>2079</v>
      </c>
      <c r="E11" s="4" t="s">
        <v>2080</v>
      </c>
      <c r="F11" s="4" t="s">
        <v>2081</v>
      </c>
      <c r="G11" s="4" t="s">
        <v>2082</v>
      </c>
      <c r="H11" s="4" t="s">
        <v>2083</v>
      </c>
      <c r="I11" s="4" t="s">
        <v>2084</v>
      </c>
      <c r="J11" s="6" t="s">
        <v>2041</v>
      </c>
      <c r="K11" s="6" t="s">
        <v>2085</v>
      </c>
    </row>
    <row r="12" spans="1:11" ht="38.25" x14ac:dyDescent="0.3">
      <c r="A12" s="6" t="s">
        <v>44</v>
      </c>
      <c r="B12" s="4" t="s">
        <v>2086</v>
      </c>
      <c r="C12" s="4" t="s">
        <v>2087</v>
      </c>
      <c r="D12" s="4" t="s">
        <v>2088</v>
      </c>
      <c r="E12" s="4" t="s">
        <v>2089</v>
      </c>
      <c r="F12" s="4" t="s">
        <v>2090</v>
      </c>
      <c r="G12" s="4" t="s">
        <v>2091</v>
      </c>
      <c r="H12" s="4" t="s">
        <v>2092</v>
      </c>
      <c r="I12" s="4" t="s">
        <v>2093</v>
      </c>
      <c r="J12" s="6" t="s">
        <v>2041</v>
      </c>
      <c r="K12" s="6" t="s">
        <v>2085</v>
      </c>
    </row>
    <row r="13" spans="1:11" ht="51" x14ac:dyDescent="0.3">
      <c r="A13" s="6" t="s">
        <v>44</v>
      </c>
      <c r="B13" s="4" t="s">
        <v>2094</v>
      </c>
      <c r="C13" s="4" t="s">
        <v>2095</v>
      </c>
      <c r="D13" s="4" t="s">
        <v>2096</v>
      </c>
      <c r="E13" s="4" t="s">
        <v>2097</v>
      </c>
      <c r="F13" s="4" t="s">
        <v>2098</v>
      </c>
      <c r="G13" s="4" t="s">
        <v>2099</v>
      </c>
      <c r="H13" s="4" t="s">
        <v>2100</v>
      </c>
      <c r="I13" s="4" t="s">
        <v>2101</v>
      </c>
      <c r="J13" s="6" t="s">
        <v>2102</v>
      </c>
      <c r="K13" s="6" t="s">
        <v>2085</v>
      </c>
    </row>
    <row r="14" spans="1:11" ht="51" x14ac:dyDescent="0.3">
      <c r="A14" s="6" t="s">
        <v>44</v>
      </c>
      <c r="B14" s="4" t="s">
        <v>2103</v>
      </c>
      <c r="C14" s="4" t="s">
        <v>2104</v>
      </c>
      <c r="D14" s="4" t="s">
        <v>2105</v>
      </c>
      <c r="E14" s="4" t="s">
        <v>2106</v>
      </c>
      <c r="F14" s="4" t="s">
        <v>2107</v>
      </c>
      <c r="G14" s="4" t="s">
        <v>2108</v>
      </c>
      <c r="H14" s="4" t="s">
        <v>2109</v>
      </c>
      <c r="I14" s="4" t="s">
        <v>2110</v>
      </c>
      <c r="J14" s="6" t="s">
        <v>2102</v>
      </c>
      <c r="K14" s="6" t="s">
        <v>2042</v>
      </c>
    </row>
    <row r="15" spans="1:11" ht="63.75" x14ac:dyDescent="0.3">
      <c r="A15" s="6" t="s">
        <v>44</v>
      </c>
      <c r="B15" s="4" t="s">
        <v>2111</v>
      </c>
      <c r="C15" s="4" t="s">
        <v>2112</v>
      </c>
      <c r="D15" s="4" t="s">
        <v>2113</v>
      </c>
      <c r="E15" s="4" t="s">
        <v>2114</v>
      </c>
      <c r="F15" s="4" t="s">
        <v>2115</v>
      </c>
      <c r="G15" s="4" t="s">
        <v>2116</v>
      </c>
      <c r="H15" s="4" t="s">
        <v>2117</v>
      </c>
      <c r="I15" s="4" t="s">
        <v>2118</v>
      </c>
      <c r="J15" s="6" t="s">
        <v>2060</v>
      </c>
      <c r="K15" s="6" t="s">
        <v>2042</v>
      </c>
    </row>
    <row r="16" spans="1:11" ht="51" x14ac:dyDescent="0.3">
      <c r="A16" s="6" t="s">
        <v>44</v>
      </c>
      <c r="B16" s="4" t="s">
        <v>2119</v>
      </c>
      <c r="C16" s="4" t="s">
        <v>2120</v>
      </c>
      <c r="D16" s="4" t="s">
        <v>2121</v>
      </c>
      <c r="E16" s="4" t="s">
        <v>2122</v>
      </c>
      <c r="F16" s="4" t="s">
        <v>2123</v>
      </c>
      <c r="G16" s="4" t="s">
        <v>2124</v>
      </c>
      <c r="H16" s="4" t="s">
        <v>2125</v>
      </c>
      <c r="I16" s="4" t="s">
        <v>2126</v>
      </c>
      <c r="J16" s="6" t="s">
        <v>2060</v>
      </c>
      <c r="K16" s="6" t="s">
        <v>2051</v>
      </c>
    </row>
    <row r="17" spans="1:11" ht="102" x14ac:dyDescent="0.3">
      <c r="A17" s="6" t="s">
        <v>45</v>
      </c>
      <c r="B17" s="4" t="s">
        <v>2127</v>
      </c>
      <c r="C17" s="4" t="s">
        <v>2128</v>
      </c>
      <c r="D17" s="4" t="s">
        <v>2129</v>
      </c>
      <c r="E17" s="4" t="s">
        <v>2130</v>
      </c>
      <c r="F17" s="4" t="s">
        <v>2131</v>
      </c>
      <c r="G17" s="4" t="s">
        <v>2132</v>
      </c>
      <c r="H17" s="4" t="s">
        <v>2133</v>
      </c>
      <c r="I17" s="4" t="s">
        <v>2134</v>
      </c>
      <c r="J17" s="6" t="s">
        <v>2041</v>
      </c>
      <c r="K17" s="6" t="s">
        <v>2042</v>
      </c>
    </row>
    <row r="18" spans="1:11" ht="89.25" x14ac:dyDescent="0.3">
      <c r="A18" s="6" t="s">
        <v>45</v>
      </c>
      <c r="B18" s="4" t="s">
        <v>2135</v>
      </c>
      <c r="C18" s="4" t="s">
        <v>2136</v>
      </c>
      <c r="D18" s="4" t="s">
        <v>2137</v>
      </c>
      <c r="E18" s="4" t="s">
        <v>2138</v>
      </c>
      <c r="F18" s="4" t="s">
        <v>2139</v>
      </c>
      <c r="G18" s="4" t="s">
        <v>2140</v>
      </c>
      <c r="H18" s="4" t="s">
        <v>2141</v>
      </c>
      <c r="I18" s="4" t="s">
        <v>2142</v>
      </c>
      <c r="J18" s="6" t="s">
        <v>2041</v>
      </c>
      <c r="K18" s="6" t="s">
        <v>2085</v>
      </c>
    </row>
    <row r="19" spans="1:11" ht="89.25" x14ac:dyDescent="0.3">
      <c r="A19" s="6" t="s">
        <v>45</v>
      </c>
      <c r="B19" s="4" t="s">
        <v>2143</v>
      </c>
      <c r="C19" s="4" t="s">
        <v>2144</v>
      </c>
      <c r="D19" s="4" t="s">
        <v>2145</v>
      </c>
      <c r="E19" s="4" t="s">
        <v>2146</v>
      </c>
      <c r="F19" s="4" t="s">
        <v>2147</v>
      </c>
      <c r="G19" s="4" t="s">
        <v>2148</v>
      </c>
      <c r="H19" s="4" t="s">
        <v>2149</v>
      </c>
      <c r="I19" s="4" t="s">
        <v>2150</v>
      </c>
      <c r="J19" s="6" t="s">
        <v>2102</v>
      </c>
      <c r="K19" s="6" t="s">
        <v>2085</v>
      </c>
    </row>
    <row r="20" spans="1:11" ht="76.5" x14ac:dyDescent="0.3">
      <c r="A20" s="6" t="s">
        <v>45</v>
      </c>
      <c r="B20" s="4" t="s">
        <v>2151</v>
      </c>
      <c r="C20" s="4" t="s">
        <v>2152</v>
      </c>
      <c r="D20" s="4" t="s">
        <v>2153</v>
      </c>
      <c r="E20" s="4" t="s">
        <v>2154</v>
      </c>
      <c r="F20" s="4" t="s">
        <v>2155</v>
      </c>
      <c r="G20" s="4" t="s">
        <v>2156</v>
      </c>
      <c r="H20" s="4" t="s">
        <v>2157</v>
      </c>
      <c r="I20" s="4" t="s">
        <v>2158</v>
      </c>
      <c r="J20" s="6" t="s">
        <v>2041</v>
      </c>
      <c r="K20" s="6" t="s">
        <v>2042</v>
      </c>
    </row>
    <row r="21" spans="1:11" ht="76.5" x14ac:dyDescent="0.3">
      <c r="A21" s="6" t="s">
        <v>45</v>
      </c>
      <c r="B21" s="4" t="s">
        <v>2159</v>
      </c>
      <c r="C21" s="4" t="s">
        <v>2160</v>
      </c>
      <c r="D21" s="4" t="s">
        <v>2161</v>
      </c>
      <c r="E21" s="4" t="s">
        <v>2162</v>
      </c>
      <c r="F21" s="4" t="s">
        <v>2163</v>
      </c>
      <c r="G21" s="4" t="s">
        <v>2164</v>
      </c>
      <c r="H21" s="4" t="s">
        <v>2165</v>
      </c>
      <c r="I21" s="4" t="s">
        <v>2166</v>
      </c>
      <c r="J21" s="6" t="s">
        <v>2102</v>
      </c>
      <c r="K21" s="6" t="s">
        <v>2085</v>
      </c>
    </row>
    <row r="22" spans="1:11" ht="89.25" x14ac:dyDescent="0.3">
      <c r="A22" s="6" t="s">
        <v>45</v>
      </c>
      <c r="B22" s="4" t="s">
        <v>2167</v>
      </c>
      <c r="C22" s="4" t="s">
        <v>2168</v>
      </c>
      <c r="D22" s="4" t="s">
        <v>2169</v>
      </c>
      <c r="E22" s="4" t="s">
        <v>2170</v>
      </c>
      <c r="F22" s="4" t="s">
        <v>2171</v>
      </c>
      <c r="G22" s="4" t="s">
        <v>2172</v>
      </c>
      <c r="H22" s="4" t="s">
        <v>2173</v>
      </c>
      <c r="I22" s="4" t="s">
        <v>2174</v>
      </c>
      <c r="J22" s="6" t="s">
        <v>2102</v>
      </c>
      <c r="K22" s="6" t="s">
        <v>2085</v>
      </c>
    </row>
    <row r="23" spans="1:11" ht="63.75" x14ac:dyDescent="0.3">
      <c r="A23" s="6" t="s">
        <v>45</v>
      </c>
      <c r="B23" s="4" t="s">
        <v>2175</v>
      </c>
      <c r="C23" s="4" t="s">
        <v>2176</v>
      </c>
      <c r="D23" s="4" t="s">
        <v>2177</v>
      </c>
      <c r="E23" s="4" t="s">
        <v>2178</v>
      </c>
      <c r="F23" s="4" t="s">
        <v>2179</v>
      </c>
      <c r="G23" s="4" t="s">
        <v>2180</v>
      </c>
      <c r="H23" s="4" t="s">
        <v>2181</v>
      </c>
      <c r="I23" s="4" t="s">
        <v>2182</v>
      </c>
      <c r="J23" s="6" t="s">
        <v>2041</v>
      </c>
      <c r="K23" s="6" t="s">
        <v>2042</v>
      </c>
    </row>
    <row r="24" spans="1:11" ht="76.5" x14ac:dyDescent="0.3">
      <c r="A24" s="6" t="s">
        <v>45</v>
      </c>
      <c r="B24" s="4" t="s">
        <v>2183</v>
      </c>
      <c r="C24" s="4" t="s">
        <v>2184</v>
      </c>
      <c r="D24" s="4" t="s">
        <v>2185</v>
      </c>
      <c r="E24" s="4" t="s">
        <v>2186</v>
      </c>
      <c r="F24" s="4" t="s">
        <v>2187</v>
      </c>
      <c r="G24" s="4" t="s">
        <v>2188</v>
      </c>
      <c r="H24" s="4" t="s">
        <v>2189</v>
      </c>
      <c r="I24" s="4" t="s">
        <v>2190</v>
      </c>
      <c r="J24" s="6" t="s">
        <v>2060</v>
      </c>
      <c r="K24" s="6" t="s">
        <v>2042</v>
      </c>
    </row>
    <row r="25" spans="1:11" ht="89.25" x14ac:dyDescent="0.3">
      <c r="A25" s="6" t="s">
        <v>45</v>
      </c>
      <c r="B25" s="4" t="s">
        <v>2191</v>
      </c>
      <c r="C25" s="4" t="s">
        <v>2192</v>
      </c>
      <c r="D25" s="4" t="s">
        <v>2193</v>
      </c>
      <c r="E25" s="4" t="s">
        <v>2194</v>
      </c>
      <c r="F25" s="4" t="s">
        <v>2195</v>
      </c>
      <c r="G25" s="4" t="s">
        <v>2196</v>
      </c>
      <c r="H25" s="4" t="s">
        <v>2197</v>
      </c>
      <c r="I25" s="4" t="s">
        <v>2198</v>
      </c>
      <c r="J25" s="6" t="s">
        <v>2060</v>
      </c>
      <c r="K25" s="6" t="s">
        <v>2085</v>
      </c>
    </row>
    <row r="26" spans="1:11" ht="63.75" x14ac:dyDescent="0.3">
      <c r="A26" s="6" t="s">
        <v>45</v>
      </c>
      <c r="B26" s="4" t="s">
        <v>2199</v>
      </c>
      <c r="C26" s="4" t="s">
        <v>2200</v>
      </c>
      <c r="D26" s="4" t="s">
        <v>2201</v>
      </c>
      <c r="E26" s="4" t="s">
        <v>2202</v>
      </c>
      <c r="F26" s="4" t="s">
        <v>2203</v>
      </c>
      <c r="G26" s="4" t="s">
        <v>2204</v>
      </c>
      <c r="H26" s="4" t="s">
        <v>2205</v>
      </c>
      <c r="I26" s="4" t="s">
        <v>2206</v>
      </c>
      <c r="J26" s="6" t="s">
        <v>2041</v>
      </c>
      <c r="K26" s="6" t="s">
        <v>2085</v>
      </c>
    </row>
    <row r="27" spans="1:11" ht="89.25" x14ac:dyDescent="0.3">
      <c r="A27" s="6" t="s">
        <v>45</v>
      </c>
      <c r="B27" s="4" t="s">
        <v>2207</v>
      </c>
      <c r="C27" s="4" t="s">
        <v>2208</v>
      </c>
      <c r="D27" s="4" t="s">
        <v>2209</v>
      </c>
      <c r="E27" s="4" t="s">
        <v>2210</v>
      </c>
      <c r="F27" s="4" t="s">
        <v>2211</v>
      </c>
      <c r="G27" s="4" t="s">
        <v>2212</v>
      </c>
      <c r="H27" s="4" t="s">
        <v>2213</v>
      </c>
      <c r="I27" s="4" t="s">
        <v>2214</v>
      </c>
      <c r="J27" s="6" t="s">
        <v>2215</v>
      </c>
      <c r="K27" s="6" t="s">
        <v>2051</v>
      </c>
    </row>
    <row r="28" spans="1:11" ht="63.75" x14ac:dyDescent="0.3">
      <c r="A28" s="6" t="s">
        <v>45</v>
      </c>
      <c r="B28" s="4" t="s">
        <v>2216</v>
      </c>
      <c r="C28" s="4" t="s">
        <v>2217</v>
      </c>
      <c r="D28" s="4" t="s">
        <v>2218</v>
      </c>
      <c r="E28" s="4" t="s">
        <v>2219</v>
      </c>
      <c r="F28" s="4" t="s">
        <v>2220</v>
      </c>
      <c r="G28" s="4" t="s">
        <v>2221</v>
      </c>
      <c r="H28" s="4" t="s">
        <v>2222</v>
      </c>
      <c r="I28" s="4" t="s">
        <v>2223</v>
      </c>
      <c r="J28" s="6" t="s">
        <v>2041</v>
      </c>
      <c r="K28" s="6" t="s">
        <v>2042</v>
      </c>
    </row>
    <row r="29" spans="1:11" ht="76.5" x14ac:dyDescent="0.3">
      <c r="A29" s="6" t="s">
        <v>46</v>
      </c>
      <c r="B29" s="4" t="s">
        <v>2224</v>
      </c>
      <c r="C29" s="4" t="s">
        <v>2225</v>
      </c>
      <c r="D29" s="4" t="s">
        <v>2226</v>
      </c>
      <c r="E29" s="4" t="s">
        <v>2227</v>
      </c>
      <c r="F29" s="4" t="s">
        <v>2228</v>
      </c>
      <c r="G29" s="4" t="s">
        <v>2229</v>
      </c>
      <c r="H29" s="4" t="s">
        <v>2230</v>
      </c>
      <c r="I29" s="4" t="s">
        <v>2231</v>
      </c>
      <c r="J29" s="6" t="s">
        <v>2102</v>
      </c>
      <c r="K29" s="6" t="s">
        <v>2042</v>
      </c>
    </row>
    <row r="30" spans="1:11" ht="127.5" x14ac:dyDescent="0.3">
      <c r="A30" s="6" t="s">
        <v>46</v>
      </c>
      <c r="B30" s="4" t="s">
        <v>2232</v>
      </c>
      <c r="C30" s="4" t="s">
        <v>2233</v>
      </c>
      <c r="D30" s="4" t="s">
        <v>2234</v>
      </c>
      <c r="E30" s="4" t="s">
        <v>2235</v>
      </c>
      <c r="F30" s="4" t="s">
        <v>2236</v>
      </c>
      <c r="G30" s="4" t="s">
        <v>2237</v>
      </c>
      <c r="H30" s="4" t="s">
        <v>2238</v>
      </c>
      <c r="I30" s="4" t="s">
        <v>2239</v>
      </c>
      <c r="J30" s="6" t="s">
        <v>2060</v>
      </c>
      <c r="K30" s="6" t="s">
        <v>2085</v>
      </c>
    </row>
    <row r="31" spans="1:11" ht="63.75" x14ac:dyDescent="0.3">
      <c r="A31" s="6" t="s">
        <v>46</v>
      </c>
      <c r="B31" s="4" t="s">
        <v>2240</v>
      </c>
      <c r="C31" s="4" t="s">
        <v>2241</v>
      </c>
      <c r="D31" s="4" t="s">
        <v>2242</v>
      </c>
      <c r="E31" s="4" t="s">
        <v>2243</v>
      </c>
      <c r="F31" s="4" t="s">
        <v>2244</v>
      </c>
      <c r="G31" s="4" t="s">
        <v>2245</v>
      </c>
      <c r="H31" s="4" t="s">
        <v>2246</v>
      </c>
      <c r="I31" s="4" t="s">
        <v>2247</v>
      </c>
      <c r="J31" s="6" t="s">
        <v>2041</v>
      </c>
      <c r="K31" s="6" t="s">
        <v>2042</v>
      </c>
    </row>
    <row r="32" spans="1:11" ht="89.25" x14ac:dyDescent="0.3">
      <c r="A32" s="6" t="s">
        <v>46</v>
      </c>
      <c r="B32" s="4" t="s">
        <v>2248</v>
      </c>
      <c r="C32" s="4" t="s">
        <v>2249</v>
      </c>
      <c r="D32" s="4" t="s">
        <v>2250</v>
      </c>
      <c r="E32" s="4" t="s">
        <v>2251</v>
      </c>
      <c r="F32" s="4" t="s">
        <v>2252</v>
      </c>
      <c r="G32" s="4" t="s">
        <v>2253</v>
      </c>
      <c r="H32" s="4" t="s">
        <v>2254</v>
      </c>
      <c r="I32" s="4" t="s">
        <v>2255</v>
      </c>
      <c r="J32" s="6" t="s">
        <v>2060</v>
      </c>
      <c r="K32" s="6" t="s">
        <v>2042</v>
      </c>
    </row>
    <row r="33" spans="1:11" ht="38.25" x14ac:dyDescent="0.3">
      <c r="A33" s="6" t="s">
        <v>46</v>
      </c>
      <c r="B33" s="4" t="s">
        <v>2256</v>
      </c>
      <c r="C33" s="4" t="s">
        <v>2257</v>
      </c>
      <c r="D33" s="4" t="s">
        <v>2258</v>
      </c>
      <c r="E33" s="4" t="s">
        <v>2259</v>
      </c>
      <c r="F33" s="4" t="s">
        <v>2260</v>
      </c>
      <c r="G33" s="4" t="s">
        <v>2261</v>
      </c>
      <c r="H33" s="4" t="s">
        <v>2262</v>
      </c>
      <c r="I33" s="4" t="s">
        <v>2263</v>
      </c>
      <c r="J33" s="6" t="s">
        <v>2041</v>
      </c>
      <c r="K33" s="6" t="s">
        <v>2051</v>
      </c>
    </row>
    <row r="34" spans="1:11" ht="63.75" x14ac:dyDescent="0.3">
      <c r="A34" s="6" t="s">
        <v>46</v>
      </c>
      <c r="B34" s="4" t="s">
        <v>2264</v>
      </c>
      <c r="C34" s="4" t="s">
        <v>2265</v>
      </c>
      <c r="D34" s="4" t="s">
        <v>2266</v>
      </c>
      <c r="E34" s="4" t="s">
        <v>2267</v>
      </c>
      <c r="F34" s="4" t="s">
        <v>2268</v>
      </c>
      <c r="G34" s="4" t="s">
        <v>2269</v>
      </c>
      <c r="H34" s="4" t="s">
        <v>2270</v>
      </c>
      <c r="I34" s="4" t="s">
        <v>2271</v>
      </c>
      <c r="J34" s="6" t="s">
        <v>2060</v>
      </c>
      <c r="K34" s="6" t="s">
        <v>2085</v>
      </c>
    </row>
    <row r="35" spans="1:11" ht="63.75" x14ac:dyDescent="0.3">
      <c r="A35" s="6" t="s">
        <v>46</v>
      </c>
      <c r="B35" s="4" t="s">
        <v>2272</v>
      </c>
      <c r="C35" s="4" t="s">
        <v>2273</v>
      </c>
      <c r="D35" s="4" t="s">
        <v>2274</v>
      </c>
      <c r="E35" s="4" t="s">
        <v>2275</v>
      </c>
      <c r="F35" s="4" t="s">
        <v>2276</v>
      </c>
      <c r="G35" s="4" t="s">
        <v>2277</v>
      </c>
      <c r="H35" s="4" t="s">
        <v>2278</v>
      </c>
      <c r="I35" s="4" t="s">
        <v>2279</v>
      </c>
      <c r="J35" s="6" t="s">
        <v>2041</v>
      </c>
      <c r="K35" s="6" t="s">
        <v>2042</v>
      </c>
    </row>
    <row r="36" spans="1:11" ht="63.75" x14ac:dyDescent="0.3">
      <c r="A36" s="6" t="s">
        <v>46</v>
      </c>
      <c r="B36" s="4" t="s">
        <v>2280</v>
      </c>
      <c r="C36" s="4" t="s">
        <v>2281</v>
      </c>
      <c r="D36" s="4" t="s">
        <v>2282</v>
      </c>
      <c r="E36" s="4" t="s">
        <v>2283</v>
      </c>
      <c r="F36" s="4" t="s">
        <v>2284</v>
      </c>
      <c r="G36" s="4" t="s">
        <v>2285</v>
      </c>
      <c r="H36" s="4" t="s">
        <v>2286</v>
      </c>
      <c r="I36" s="4" t="s">
        <v>2287</v>
      </c>
      <c r="J36" s="6" t="s">
        <v>2041</v>
      </c>
      <c r="K36" s="6" t="s">
        <v>2051</v>
      </c>
    </row>
    <row r="37" spans="1:11" ht="63.75" x14ac:dyDescent="0.3">
      <c r="A37" s="6" t="s">
        <v>46</v>
      </c>
      <c r="B37" s="4" t="s">
        <v>2288</v>
      </c>
      <c r="C37" s="4" t="s">
        <v>2289</v>
      </c>
      <c r="D37" s="4" t="s">
        <v>2290</v>
      </c>
      <c r="E37" s="4" t="s">
        <v>2291</v>
      </c>
      <c r="F37" s="4" t="s">
        <v>2292</v>
      </c>
      <c r="G37" s="4" t="s">
        <v>2293</v>
      </c>
      <c r="H37" s="4" t="s">
        <v>2294</v>
      </c>
      <c r="I37" s="4" t="s">
        <v>2295</v>
      </c>
      <c r="J37" s="6" t="s">
        <v>2102</v>
      </c>
      <c r="K37" s="6" t="s">
        <v>2042</v>
      </c>
    </row>
    <row r="38" spans="1:11" ht="63.75" x14ac:dyDescent="0.3">
      <c r="A38" s="6" t="s">
        <v>46</v>
      </c>
      <c r="B38" s="4" t="s">
        <v>2296</v>
      </c>
      <c r="C38" s="4" t="s">
        <v>2297</v>
      </c>
      <c r="D38" s="4" t="s">
        <v>2298</v>
      </c>
      <c r="E38" s="4" t="s">
        <v>2299</v>
      </c>
      <c r="F38" s="4" t="s">
        <v>2300</v>
      </c>
      <c r="G38" s="4" t="s">
        <v>2301</v>
      </c>
      <c r="H38" s="4" t="s">
        <v>2302</v>
      </c>
      <c r="I38" s="4" t="s">
        <v>2303</v>
      </c>
      <c r="J38" s="6" t="s">
        <v>2041</v>
      </c>
      <c r="K38" s="6" t="s">
        <v>2051</v>
      </c>
    </row>
    <row r="39" spans="1:11" ht="63.75" x14ac:dyDescent="0.3">
      <c r="A39" s="6" t="s">
        <v>46</v>
      </c>
      <c r="B39" s="4" t="s">
        <v>2304</v>
      </c>
      <c r="C39" s="4" t="s">
        <v>2305</v>
      </c>
      <c r="D39" s="4" t="s">
        <v>2306</v>
      </c>
      <c r="E39" s="4" t="s">
        <v>2307</v>
      </c>
      <c r="F39" s="4" t="s">
        <v>2308</v>
      </c>
      <c r="G39" s="4" t="s">
        <v>2309</v>
      </c>
      <c r="H39" s="4" t="s">
        <v>2310</v>
      </c>
      <c r="I39" s="4" t="s">
        <v>2311</v>
      </c>
      <c r="J39" s="6" t="s">
        <v>2060</v>
      </c>
      <c r="K39" s="6" t="s">
        <v>2042</v>
      </c>
    </row>
    <row r="40" spans="1:11" ht="127.5" x14ac:dyDescent="0.3">
      <c r="A40" s="6" t="s">
        <v>47</v>
      </c>
      <c r="B40" s="4" t="s">
        <v>2312</v>
      </c>
      <c r="C40" s="4" t="s">
        <v>2313</v>
      </c>
      <c r="D40" s="4" t="s">
        <v>2314</v>
      </c>
      <c r="E40" s="4" t="s">
        <v>2315</v>
      </c>
      <c r="F40" s="4" t="s">
        <v>2316</v>
      </c>
      <c r="G40" s="4" t="s">
        <v>2317</v>
      </c>
      <c r="H40" s="4" t="s">
        <v>2318</v>
      </c>
      <c r="I40" s="4" t="s">
        <v>2319</v>
      </c>
      <c r="J40" s="6" t="s">
        <v>2102</v>
      </c>
      <c r="K40" s="6" t="s">
        <v>2042</v>
      </c>
    </row>
    <row r="41" spans="1:11" ht="89.25" x14ac:dyDescent="0.3">
      <c r="A41" s="6" t="s">
        <v>47</v>
      </c>
      <c r="B41" s="4" t="s">
        <v>2320</v>
      </c>
      <c r="C41" s="4" t="s">
        <v>2321</v>
      </c>
      <c r="D41" s="4" t="s">
        <v>2322</v>
      </c>
      <c r="E41" s="4" t="s">
        <v>2323</v>
      </c>
      <c r="F41" s="4" t="s">
        <v>2324</v>
      </c>
      <c r="G41" s="4" t="s">
        <v>2325</v>
      </c>
      <c r="H41" s="4" t="s">
        <v>2326</v>
      </c>
      <c r="I41" s="4" t="s">
        <v>2327</v>
      </c>
      <c r="J41" s="6" t="s">
        <v>2041</v>
      </c>
      <c r="K41" s="6" t="s">
        <v>2042</v>
      </c>
    </row>
    <row r="42" spans="1:11" ht="114.75" x14ac:dyDescent="0.3">
      <c r="A42" s="6" t="s">
        <v>47</v>
      </c>
      <c r="B42" s="4" t="s">
        <v>2328</v>
      </c>
      <c r="C42" s="4" t="s">
        <v>2329</v>
      </c>
      <c r="D42" s="4" t="s">
        <v>2330</v>
      </c>
      <c r="E42" s="4" t="s">
        <v>2331</v>
      </c>
      <c r="F42" s="4" t="s">
        <v>2332</v>
      </c>
      <c r="G42" s="4" t="s">
        <v>2333</v>
      </c>
      <c r="H42" s="4" t="s">
        <v>2334</v>
      </c>
      <c r="I42" s="4" t="s">
        <v>2335</v>
      </c>
      <c r="J42" s="6" t="s">
        <v>2060</v>
      </c>
      <c r="K42" s="6" t="s">
        <v>2042</v>
      </c>
    </row>
    <row r="43" spans="1:11" ht="114.75" x14ac:dyDescent="0.3">
      <c r="A43" s="6" t="s">
        <v>47</v>
      </c>
      <c r="B43" s="4" t="s">
        <v>2336</v>
      </c>
      <c r="C43" s="4" t="s">
        <v>2337</v>
      </c>
      <c r="D43" s="4" t="s">
        <v>2338</v>
      </c>
      <c r="E43" s="4" t="s">
        <v>2339</v>
      </c>
      <c r="F43" s="4" t="s">
        <v>2340</v>
      </c>
      <c r="G43" s="4" t="s">
        <v>2341</v>
      </c>
      <c r="H43" s="4" t="s">
        <v>2342</v>
      </c>
      <c r="I43" s="4" t="s">
        <v>2343</v>
      </c>
      <c r="J43" s="6" t="s">
        <v>2060</v>
      </c>
      <c r="K43" s="6" t="s">
        <v>2085</v>
      </c>
    </row>
    <row r="44" spans="1:11" ht="89.25" x14ac:dyDescent="0.3">
      <c r="A44" s="6" t="s">
        <v>47</v>
      </c>
      <c r="B44" s="4" t="s">
        <v>2344</v>
      </c>
      <c r="C44" s="4" t="s">
        <v>2345</v>
      </c>
      <c r="D44" s="4" t="s">
        <v>2346</v>
      </c>
      <c r="E44" s="4" t="s">
        <v>2347</v>
      </c>
      <c r="F44" s="4" t="s">
        <v>2348</v>
      </c>
      <c r="G44" s="4" t="s">
        <v>2349</v>
      </c>
      <c r="H44" s="4" t="s">
        <v>2350</v>
      </c>
      <c r="I44" s="4" t="s">
        <v>2351</v>
      </c>
      <c r="J44" s="6" t="s">
        <v>2102</v>
      </c>
      <c r="K44" s="6" t="s">
        <v>2051</v>
      </c>
    </row>
    <row r="45" spans="1:11" ht="102" x14ac:dyDescent="0.3">
      <c r="A45" s="6" t="s">
        <v>47</v>
      </c>
      <c r="B45" s="4" t="s">
        <v>2352</v>
      </c>
      <c r="C45" s="4" t="s">
        <v>2353</v>
      </c>
      <c r="D45" s="4" t="s">
        <v>2354</v>
      </c>
      <c r="E45" s="4" t="s">
        <v>2355</v>
      </c>
      <c r="F45" s="4" t="s">
        <v>2356</v>
      </c>
      <c r="G45" s="4" t="s">
        <v>2357</v>
      </c>
      <c r="H45" s="4" t="s">
        <v>2358</v>
      </c>
      <c r="I45" s="4" t="s">
        <v>2359</v>
      </c>
      <c r="J45" s="6" t="s">
        <v>2102</v>
      </c>
      <c r="K45" s="6" t="s">
        <v>2042</v>
      </c>
    </row>
    <row r="46" spans="1:11" ht="89.25" x14ac:dyDescent="0.3">
      <c r="A46" s="6" t="s">
        <v>47</v>
      </c>
      <c r="B46" s="4" t="s">
        <v>2360</v>
      </c>
      <c r="C46" s="4" t="s">
        <v>2361</v>
      </c>
      <c r="D46" s="4" t="s">
        <v>2362</v>
      </c>
      <c r="E46" s="4" t="s">
        <v>2363</v>
      </c>
      <c r="F46" s="4" t="s">
        <v>2364</v>
      </c>
      <c r="G46" s="4" t="s">
        <v>2365</v>
      </c>
      <c r="H46" s="4" t="s">
        <v>2366</v>
      </c>
      <c r="I46" s="4" t="s">
        <v>2367</v>
      </c>
      <c r="J46" s="6" t="s">
        <v>2041</v>
      </c>
      <c r="K46" s="6" t="s">
        <v>2042</v>
      </c>
    </row>
    <row r="47" spans="1:11" ht="51" x14ac:dyDescent="0.3">
      <c r="A47" s="6" t="s">
        <v>47</v>
      </c>
      <c r="B47" s="4" t="s">
        <v>2368</v>
      </c>
      <c r="C47" s="4" t="s">
        <v>2369</v>
      </c>
      <c r="D47" s="4" t="s">
        <v>2370</v>
      </c>
      <c r="E47" s="4" t="s">
        <v>2371</v>
      </c>
      <c r="F47" s="4" t="s">
        <v>2372</v>
      </c>
      <c r="G47" s="4" t="s">
        <v>2373</v>
      </c>
      <c r="H47" s="4" t="s">
        <v>2374</v>
      </c>
      <c r="I47" s="4" t="s">
        <v>2375</v>
      </c>
      <c r="J47" s="6" t="s">
        <v>2215</v>
      </c>
      <c r="K47" s="6" t="s">
        <v>2051</v>
      </c>
    </row>
    <row r="48" spans="1:11" ht="114.75" x14ac:dyDescent="0.3">
      <c r="A48" s="6" t="s">
        <v>48</v>
      </c>
      <c r="B48" s="4" t="s">
        <v>2376</v>
      </c>
      <c r="C48" s="4" t="s">
        <v>2377</v>
      </c>
      <c r="D48" s="4" t="s">
        <v>2378</v>
      </c>
      <c r="E48" s="4" t="s">
        <v>2379</v>
      </c>
      <c r="F48" s="4" t="s">
        <v>2380</v>
      </c>
      <c r="G48" s="4" t="s">
        <v>2381</v>
      </c>
      <c r="H48" s="4" t="s">
        <v>2382</v>
      </c>
      <c r="I48" s="4" t="s">
        <v>2383</v>
      </c>
      <c r="J48" s="6" t="s">
        <v>2041</v>
      </c>
      <c r="K48" s="6" t="s">
        <v>2042</v>
      </c>
    </row>
    <row r="49" spans="1:11" ht="114.75" x14ac:dyDescent="0.3">
      <c r="A49" s="6" t="s">
        <v>48</v>
      </c>
      <c r="B49" s="4" t="s">
        <v>2384</v>
      </c>
      <c r="C49" s="4" t="s">
        <v>2385</v>
      </c>
      <c r="D49" s="4" t="s">
        <v>2386</v>
      </c>
      <c r="E49" s="4" t="s">
        <v>2387</v>
      </c>
      <c r="F49" s="4" t="s">
        <v>2388</v>
      </c>
      <c r="G49" s="4" t="s">
        <v>2389</v>
      </c>
      <c r="H49" s="4" t="s">
        <v>2390</v>
      </c>
      <c r="I49" s="4" t="s">
        <v>2391</v>
      </c>
      <c r="J49" s="6" t="s">
        <v>2102</v>
      </c>
      <c r="K49" s="6" t="s">
        <v>2042</v>
      </c>
    </row>
    <row r="50" spans="1:11" ht="76.5" x14ac:dyDescent="0.3">
      <c r="A50" s="6" t="s">
        <v>48</v>
      </c>
      <c r="B50" s="4" t="s">
        <v>2392</v>
      </c>
      <c r="C50" s="4" t="s">
        <v>2393</v>
      </c>
      <c r="D50" s="4" t="s">
        <v>2394</v>
      </c>
      <c r="E50" s="4" t="s">
        <v>2395</v>
      </c>
      <c r="F50" s="4" t="s">
        <v>2396</v>
      </c>
      <c r="G50" s="4" t="s">
        <v>2397</v>
      </c>
      <c r="H50" s="4" t="s">
        <v>2398</v>
      </c>
      <c r="I50" s="4" t="s">
        <v>2399</v>
      </c>
      <c r="J50" s="6" t="s">
        <v>2041</v>
      </c>
      <c r="K50" s="6" t="s">
        <v>2051</v>
      </c>
    </row>
    <row r="51" spans="1:11" ht="89.25" x14ac:dyDescent="0.3">
      <c r="A51" s="6" t="s">
        <v>48</v>
      </c>
      <c r="B51" s="4" t="s">
        <v>2400</v>
      </c>
      <c r="C51" s="4" t="s">
        <v>2401</v>
      </c>
      <c r="D51" s="4" t="s">
        <v>2402</v>
      </c>
      <c r="E51" s="4" t="s">
        <v>2403</v>
      </c>
      <c r="F51" s="4" t="s">
        <v>2404</v>
      </c>
      <c r="G51" s="4" t="s">
        <v>2405</v>
      </c>
      <c r="H51" s="4" t="s">
        <v>2406</v>
      </c>
      <c r="I51" s="4" t="s">
        <v>2407</v>
      </c>
      <c r="J51" s="6" t="s">
        <v>2060</v>
      </c>
      <c r="K51" s="6" t="s">
        <v>2051</v>
      </c>
    </row>
    <row r="52" spans="1:11" ht="89.25" x14ac:dyDescent="0.3">
      <c r="A52" s="6" t="s">
        <v>48</v>
      </c>
      <c r="B52" s="4" t="s">
        <v>2408</v>
      </c>
      <c r="C52" s="4" t="s">
        <v>2409</v>
      </c>
      <c r="D52" s="4" t="s">
        <v>2410</v>
      </c>
      <c r="E52" s="4" t="s">
        <v>2411</v>
      </c>
      <c r="F52" s="4" t="s">
        <v>2412</v>
      </c>
      <c r="G52" s="4" t="s">
        <v>2413</v>
      </c>
      <c r="H52" s="4" t="s">
        <v>2414</v>
      </c>
      <c r="I52" s="4" t="s">
        <v>2415</v>
      </c>
      <c r="J52" s="6" t="s">
        <v>2060</v>
      </c>
      <c r="K52" s="6" t="s">
        <v>2085</v>
      </c>
    </row>
    <row r="53" spans="1:11" ht="76.5" x14ac:dyDescent="0.3">
      <c r="A53" s="6" t="s">
        <v>48</v>
      </c>
      <c r="B53" s="4" t="s">
        <v>2416</v>
      </c>
      <c r="C53" s="4" t="s">
        <v>2417</v>
      </c>
      <c r="D53" s="4" t="s">
        <v>2418</v>
      </c>
      <c r="E53" s="4" t="s">
        <v>2419</v>
      </c>
      <c r="F53" s="4" t="s">
        <v>2420</v>
      </c>
      <c r="G53" s="4" t="s">
        <v>2421</v>
      </c>
      <c r="H53" s="4" t="s">
        <v>2422</v>
      </c>
      <c r="I53" s="4" t="s">
        <v>2423</v>
      </c>
      <c r="J53" s="6" t="s">
        <v>2041</v>
      </c>
      <c r="K53" s="6" t="s">
        <v>2042</v>
      </c>
    </row>
    <row r="54" spans="1:11" ht="63.75" x14ac:dyDescent="0.3">
      <c r="A54" s="6" t="s">
        <v>48</v>
      </c>
      <c r="B54" s="4" t="s">
        <v>2424</v>
      </c>
      <c r="C54" s="4" t="s">
        <v>2425</v>
      </c>
      <c r="D54" s="4" t="s">
        <v>2426</v>
      </c>
      <c r="E54" s="4" t="s">
        <v>2427</v>
      </c>
      <c r="F54" s="4" t="s">
        <v>2428</v>
      </c>
      <c r="G54" s="4" t="s">
        <v>2429</v>
      </c>
      <c r="H54" s="4" t="s">
        <v>2430</v>
      </c>
      <c r="I54" s="4" t="s">
        <v>2431</v>
      </c>
      <c r="J54" s="6" t="s">
        <v>2215</v>
      </c>
      <c r="K54" s="6" t="s">
        <v>2051</v>
      </c>
    </row>
    <row r="55" spans="1:11" ht="127.5" x14ac:dyDescent="0.3">
      <c r="A55" s="6" t="s">
        <v>49</v>
      </c>
      <c r="B55" s="4" t="s">
        <v>2432</v>
      </c>
      <c r="C55" s="4" t="s">
        <v>2433</v>
      </c>
      <c r="D55" s="4" t="s">
        <v>2434</v>
      </c>
      <c r="E55" s="4" t="s">
        <v>2435</v>
      </c>
      <c r="F55" s="4" t="s">
        <v>2436</v>
      </c>
      <c r="G55" s="4" t="s">
        <v>2437</v>
      </c>
      <c r="H55" s="4" t="s">
        <v>2438</v>
      </c>
      <c r="I55" s="4" t="s">
        <v>2439</v>
      </c>
      <c r="J55" s="6" t="s">
        <v>2102</v>
      </c>
      <c r="K55" s="6" t="s">
        <v>2085</v>
      </c>
    </row>
    <row r="56" spans="1:11" ht="89.25" x14ac:dyDescent="0.3">
      <c r="A56" s="6" t="s">
        <v>49</v>
      </c>
      <c r="B56" s="4" t="s">
        <v>2440</v>
      </c>
      <c r="C56" s="4" t="s">
        <v>2441</v>
      </c>
      <c r="D56" s="4" t="s">
        <v>2442</v>
      </c>
      <c r="E56" s="4" t="s">
        <v>2443</v>
      </c>
      <c r="F56" s="4" t="s">
        <v>2444</v>
      </c>
      <c r="G56" s="4" t="s">
        <v>2445</v>
      </c>
      <c r="H56" s="4" t="s">
        <v>2446</v>
      </c>
      <c r="I56" s="4" t="s">
        <v>2447</v>
      </c>
      <c r="J56" s="6" t="s">
        <v>2041</v>
      </c>
      <c r="K56" s="6" t="s">
        <v>2042</v>
      </c>
    </row>
    <row r="57" spans="1:11" ht="140.25" x14ac:dyDescent="0.3">
      <c r="A57" s="6" t="s">
        <v>49</v>
      </c>
      <c r="B57" s="4" t="s">
        <v>2448</v>
      </c>
      <c r="C57" s="4" t="s">
        <v>2449</v>
      </c>
      <c r="D57" s="4" t="s">
        <v>2450</v>
      </c>
      <c r="E57" s="4" t="s">
        <v>2451</v>
      </c>
      <c r="F57" s="4" t="s">
        <v>2452</v>
      </c>
      <c r="G57" s="4" t="s">
        <v>2453</v>
      </c>
      <c r="H57" s="4" t="s">
        <v>2454</v>
      </c>
      <c r="I57" s="4" t="s">
        <v>2455</v>
      </c>
      <c r="J57" s="6" t="s">
        <v>2041</v>
      </c>
      <c r="K57" s="6" t="s">
        <v>2042</v>
      </c>
    </row>
    <row r="58" spans="1:11" ht="102" x14ac:dyDescent="0.3">
      <c r="A58" s="6" t="s">
        <v>49</v>
      </c>
      <c r="B58" s="4" t="s">
        <v>2456</v>
      </c>
      <c r="C58" s="4" t="s">
        <v>2457</v>
      </c>
      <c r="D58" s="4" t="s">
        <v>2458</v>
      </c>
      <c r="E58" s="4" t="s">
        <v>2459</v>
      </c>
      <c r="F58" s="4" t="s">
        <v>2460</v>
      </c>
      <c r="G58" s="4" t="s">
        <v>2461</v>
      </c>
      <c r="H58" s="4" t="s">
        <v>2462</v>
      </c>
      <c r="I58" s="4" t="s">
        <v>2463</v>
      </c>
      <c r="J58" s="6" t="s">
        <v>2102</v>
      </c>
      <c r="K58" s="6" t="s">
        <v>2042</v>
      </c>
    </row>
    <row r="59" spans="1:11" ht="191.25" x14ac:dyDescent="0.3">
      <c r="A59" s="6" t="s">
        <v>49</v>
      </c>
      <c r="B59" s="4" t="s">
        <v>2464</v>
      </c>
      <c r="C59" s="4" t="s">
        <v>2465</v>
      </c>
      <c r="D59" s="4" t="s">
        <v>2466</v>
      </c>
      <c r="E59" s="4" t="s">
        <v>2467</v>
      </c>
      <c r="F59" s="4" t="s">
        <v>2468</v>
      </c>
      <c r="G59" s="4" t="s">
        <v>2469</v>
      </c>
      <c r="H59" s="4" t="s">
        <v>2470</v>
      </c>
      <c r="I59" s="4" t="s">
        <v>2471</v>
      </c>
      <c r="J59" s="6" t="s">
        <v>2060</v>
      </c>
      <c r="K59" s="6" t="s">
        <v>2085</v>
      </c>
    </row>
    <row r="60" spans="1:11" ht="140.25" x14ac:dyDescent="0.3">
      <c r="A60" s="6" t="s">
        <v>49</v>
      </c>
      <c r="B60" s="4" t="s">
        <v>2472</v>
      </c>
      <c r="C60" s="4" t="s">
        <v>2473</v>
      </c>
      <c r="D60" s="4" t="s">
        <v>2474</v>
      </c>
      <c r="E60" s="4" t="s">
        <v>2475</v>
      </c>
      <c r="F60" s="4" t="s">
        <v>2476</v>
      </c>
      <c r="G60" s="4" t="s">
        <v>2477</v>
      </c>
      <c r="H60" s="4" t="s">
        <v>2478</v>
      </c>
      <c r="I60" s="4" t="s">
        <v>2479</v>
      </c>
      <c r="J60" s="6" t="s">
        <v>2060</v>
      </c>
      <c r="K60" s="6" t="s">
        <v>2085</v>
      </c>
    </row>
    <row r="61" spans="1:11" ht="127.5" x14ac:dyDescent="0.3">
      <c r="A61" s="6" t="s">
        <v>49</v>
      </c>
      <c r="B61" s="4" t="s">
        <v>2480</v>
      </c>
      <c r="C61" s="4" t="s">
        <v>2481</v>
      </c>
      <c r="D61" s="4" t="s">
        <v>2482</v>
      </c>
      <c r="E61" s="4" t="s">
        <v>2483</v>
      </c>
      <c r="F61" s="4" t="s">
        <v>2484</v>
      </c>
      <c r="G61" s="4" t="s">
        <v>2485</v>
      </c>
      <c r="H61" s="4" t="s">
        <v>2486</v>
      </c>
      <c r="I61" s="4" t="s">
        <v>2487</v>
      </c>
      <c r="J61" s="6" t="s">
        <v>2102</v>
      </c>
      <c r="K61" s="6" t="s">
        <v>2042</v>
      </c>
    </row>
    <row r="62" spans="1:11" ht="76.5" x14ac:dyDescent="0.3">
      <c r="A62" s="6" t="s">
        <v>49</v>
      </c>
      <c r="B62" s="4" t="s">
        <v>2488</v>
      </c>
      <c r="C62" s="4" t="s">
        <v>2489</v>
      </c>
      <c r="D62" s="4" t="s">
        <v>2490</v>
      </c>
      <c r="E62" s="4" t="s">
        <v>2491</v>
      </c>
      <c r="F62" s="4" t="s">
        <v>2492</v>
      </c>
      <c r="G62" s="4" t="s">
        <v>2493</v>
      </c>
      <c r="H62" s="4" t="s">
        <v>2494</v>
      </c>
      <c r="I62" s="4" t="s">
        <v>2495</v>
      </c>
      <c r="J62" s="6" t="s">
        <v>2060</v>
      </c>
      <c r="K62" s="6" t="s">
        <v>2085</v>
      </c>
    </row>
    <row r="63" spans="1:11" ht="102" x14ac:dyDescent="0.3">
      <c r="A63" s="6" t="s">
        <v>49</v>
      </c>
      <c r="B63" s="4" t="s">
        <v>2496</v>
      </c>
      <c r="C63" s="4" t="s">
        <v>2497</v>
      </c>
      <c r="D63" s="4" t="s">
        <v>2498</v>
      </c>
      <c r="E63" s="4" t="s">
        <v>2499</v>
      </c>
      <c r="F63" s="4" t="s">
        <v>2500</v>
      </c>
      <c r="G63" s="4" t="s">
        <v>2501</v>
      </c>
      <c r="H63" s="4" t="s">
        <v>2502</v>
      </c>
      <c r="I63" s="4" t="s">
        <v>2503</v>
      </c>
      <c r="J63" s="6" t="s">
        <v>2041</v>
      </c>
      <c r="K63" s="6" t="s">
        <v>2042</v>
      </c>
    </row>
    <row r="64" spans="1:11" ht="63.75" x14ac:dyDescent="0.3">
      <c r="A64" s="6" t="s">
        <v>49</v>
      </c>
      <c r="B64" s="4" t="s">
        <v>2504</v>
      </c>
      <c r="C64" s="4" t="s">
        <v>2505</v>
      </c>
      <c r="D64" s="4" t="s">
        <v>2506</v>
      </c>
      <c r="E64" s="4" t="s">
        <v>2507</v>
      </c>
      <c r="F64" s="4" t="s">
        <v>2508</v>
      </c>
      <c r="G64" s="4" t="s">
        <v>2509</v>
      </c>
      <c r="H64" s="4" t="s">
        <v>2510</v>
      </c>
      <c r="I64" s="4" t="s">
        <v>2511</v>
      </c>
      <c r="J64" s="6" t="s">
        <v>2102</v>
      </c>
      <c r="K64" s="6" t="s">
        <v>2051</v>
      </c>
    </row>
    <row r="65" spans="1:11" ht="63.75" x14ac:dyDescent="0.3">
      <c r="A65" s="6" t="s">
        <v>49</v>
      </c>
      <c r="B65" s="4" t="s">
        <v>2512</v>
      </c>
      <c r="C65" s="4" t="s">
        <v>2513</v>
      </c>
      <c r="D65" s="4" t="s">
        <v>2514</v>
      </c>
      <c r="E65" s="4" t="s">
        <v>2515</v>
      </c>
      <c r="F65" s="4" t="s">
        <v>2516</v>
      </c>
      <c r="G65" s="4" t="s">
        <v>2517</v>
      </c>
      <c r="H65" s="4" t="s">
        <v>2518</v>
      </c>
      <c r="I65" s="4" t="s">
        <v>2519</v>
      </c>
      <c r="J65" s="6" t="s">
        <v>2060</v>
      </c>
      <c r="K65" s="6" t="s">
        <v>2042</v>
      </c>
    </row>
    <row r="66" spans="1:11" ht="51" x14ac:dyDescent="0.3">
      <c r="A66" s="6" t="s">
        <v>50</v>
      </c>
      <c r="B66" s="4" t="s">
        <v>2520</v>
      </c>
      <c r="C66" s="4" t="s">
        <v>2521</v>
      </c>
      <c r="D66" s="4" t="s">
        <v>2522</v>
      </c>
      <c r="E66" s="4" t="s">
        <v>2523</v>
      </c>
      <c r="F66" s="4" t="s">
        <v>2524</v>
      </c>
      <c r="G66" s="4" t="s">
        <v>2525</v>
      </c>
      <c r="H66" s="4" t="s">
        <v>2526</v>
      </c>
      <c r="I66" s="4" t="s">
        <v>2527</v>
      </c>
      <c r="J66" s="6" t="s">
        <v>2060</v>
      </c>
      <c r="K66" s="6" t="s">
        <v>2051</v>
      </c>
    </row>
    <row r="67" spans="1:11" ht="63.75" x14ac:dyDescent="0.3">
      <c r="A67" s="6" t="s">
        <v>50</v>
      </c>
      <c r="B67" s="4" t="s">
        <v>2528</v>
      </c>
      <c r="C67" s="4" t="s">
        <v>2529</v>
      </c>
      <c r="D67" s="4" t="s">
        <v>2530</v>
      </c>
      <c r="E67" s="4" t="s">
        <v>2531</v>
      </c>
      <c r="F67" s="4" t="s">
        <v>2532</v>
      </c>
      <c r="G67" s="4" t="s">
        <v>2533</v>
      </c>
      <c r="H67" s="4" t="s">
        <v>2534</v>
      </c>
      <c r="I67" s="4" t="s">
        <v>2535</v>
      </c>
      <c r="J67" s="6" t="s">
        <v>2060</v>
      </c>
      <c r="K67" s="6" t="s">
        <v>2051</v>
      </c>
    </row>
    <row r="68" spans="1:11" ht="51" x14ac:dyDescent="0.3">
      <c r="A68" s="6" t="s">
        <v>50</v>
      </c>
      <c r="B68" s="4" t="s">
        <v>2536</v>
      </c>
      <c r="C68" s="4" t="s">
        <v>2537</v>
      </c>
      <c r="D68" s="4" t="s">
        <v>2538</v>
      </c>
      <c r="E68" s="4" t="s">
        <v>2539</v>
      </c>
      <c r="F68" s="4" t="s">
        <v>2540</v>
      </c>
      <c r="G68" s="4" t="s">
        <v>2541</v>
      </c>
      <c r="H68" s="4" t="s">
        <v>2542</v>
      </c>
      <c r="I68" s="4" t="s">
        <v>2543</v>
      </c>
      <c r="J68" s="6" t="s">
        <v>2041</v>
      </c>
      <c r="K68" s="6" t="s">
        <v>2042</v>
      </c>
    </row>
    <row r="69" spans="1:11" ht="63.75" x14ac:dyDescent="0.3">
      <c r="A69" s="6" t="s">
        <v>50</v>
      </c>
      <c r="B69" s="4" t="s">
        <v>2544</v>
      </c>
      <c r="C69" s="4" t="s">
        <v>2545</v>
      </c>
      <c r="D69" s="4" t="s">
        <v>2546</v>
      </c>
      <c r="E69" s="4" t="s">
        <v>2547</v>
      </c>
      <c r="F69" s="4" t="s">
        <v>2548</v>
      </c>
      <c r="G69" s="4" t="s">
        <v>2549</v>
      </c>
      <c r="H69" s="4" t="s">
        <v>2550</v>
      </c>
      <c r="I69" s="4" t="s">
        <v>2551</v>
      </c>
      <c r="J69" s="6" t="s">
        <v>2215</v>
      </c>
      <c r="K69" s="6" t="s">
        <v>2042</v>
      </c>
    </row>
    <row r="70" spans="1:11" ht="63.75" x14ac:dyDescent="0.3">
      <c r="A70" s="6" t="s">
        <v>50</v>
      </c>
      <c r="B70" s="4" t="s">
        <v>2552</v>
      </c>
      <c r="C70" s="4" t="s">
        <v>2553</v>
      </c>
      <c r="D70" s="4" t="s">
        <v>2554</v>
      </c>
      <c r="E70" s="4" t="s">
        <v>2555</v>
      </c>
      <c r="F70" s="4" t="s">
        <v>2556</v>
      </c>
      <c r="G70" s="4" t="s">
        <v>2557</v>
      </c>
      <c r="H70" s="4" t="s">
        <v>2558</v>
      </c>
      <c r="I70" s="4" t="s">
        <v>2559</v>
      </c>
      <c r="J70" s="6" t="s">
        <v>2041</v>
      </c>
      <c r="K70" s="6" t="s">
        <v>2042</v>
      </c>
    </row>
    <row r="71" spans="1:11" ht="63.75" x14ac:dyDescent="0.3">
      <c r="A71" s="6" t="s">
        <v>50</v>
      </c>
      <c r="B71" s="4" t="s">
        <v>2560</v>
      </c>
      <c r="C71" s="4" t="s">
        <v>2561</v>
      </c>
      <c r="D71" s="4" t="s">
        <v>2562</v>
      </c>
      <c r="E71" s="4" t="s">
        <v>2563</v>
      </c>
      <c r="F71" s="4" t="s">
        <v>2564</v>
      </c>
      <c r="G71" s="4" t="s">
        <v>2565</v>
      </c>
      <c r="H71" s="4" t="s">
        <v>2566</v>
      </c>
      <c r="I71" s="4" t="s">
        <v>2567</v>
      </c>
      <c r="J71" s="6" t="s">
        <v>2102</v>
      </c>
      <c r="K71" s="6" t="s">
        <v>2051</v>
      </c>
    </row>
    <row r="72" spans="1:11" ht="51" x14ac:dyDescent="0.3">
      <c r="A72" s="6" t="s">
        <v>50</v>
      </c>
      <c r="B72" s="4" t="s">
        <v>2568</v>
      </c>
      <c r="C72" s="4" t="s">
        <v>2569</v>
      </c>
      <c r="D72" s="4" t="s">
        <v>2570</v>
      </c>
      <c r="E72" s="4" t="s">
        <v>2571</v>
      </c>
      <c r="F72" s="4" t="s">
        <v>2572</v>
      </c>
      <c r="G72" s="4" t="s">
        <v>2573</v>
      </c>
      <c r="H72" s="4" t="s">
        <v>2574</v>
      </c>
      <c r="I72" s="4" t="s">
        <v>2575</v>
      </c>
      <c r="J72" s="6" t="s">
        <v>2060</v>
      </c>
      <c r="K72" s="6" t="s">
        <v>2042</v>
      </c>
    </row>
    <row r="73" spans="1:11" ht="51" x14ac:dyDescent="0.3">
      <c r="A73" s="6" t="s">
        <v>50</v>
      </c>
      <c r="B73" s="4" t="s">
        <v>2576</v>
      </c>
      <c r="C73" s="4" t="s">
        <v>2577</v>
      </c>
      <c r="D73" s="4" t="s">
        <v>2578</v>
      </c>
      <c r="E73" s="4" t="s">
        <v>2579</v>
      </c>
      <c r="F73" s="4" t="s">
        <v>2580</v>
      </c>
      <c r="G73" s="4" t="s">
        <v>2581</v>
      </c>
      <c r="H73" s="4" t="s">
        <v>2582</v>
      </c>
      <c r="I73" s="4" t="s">
        <v>2583</v>
      </c>
      <c r="J73" s="6" t="s">
        <v>2041</v>
      </c>
      <c r="K73" s="6" t="s">
        <v>2051</v>
      </c>
    </row>
    <row r="74" spans="1:11" ht="63.75" x14ac:dyDescent="0.3">
      <c r="A74" s="6" t="s">
        <v>50</v>
      </c>
      <c r="B74" s="4" t="s">
        <v>2584</v>
      </c>
      <c r="C74" s="4" t="s">
        <v>2585</v>
      </c>
      <c r="D74" s="4" t="s">
        <v>2586</v>
      </c>
      <c r="E74" s="4" t="s">
        <v>2587</v>
      </c>
      <c r="F74" s="4" t="s">
        <v>2588</v>
      </c>
      <c r="G74" s="4" t="s">
        <v>2589</v>
      </c>
      <c r="H74" s="4" t="s">
        <v>2590</v>
      </c>
      <c r="I74" s="4" t="s">
        <v>2591</v>
      </c>
      <c r="J74" s="6" t="s">
        <v>2060</v>
      </c>
      <c r="K74" s="6" t="s">
        <v>2042</v>
      </c>
    </row>
    <row r="75" spans="1:11" ht="102" x14ac:dyDescent="0.3">
      <c r="A75" s="6" t="s">
        <v>1396</v>
      </c>
      <c r="B75" s="4" t="s">
        <v>2592</v>
      </c>
      <c r="C75" s="4" t="s">
        <v>2593</v>
      </c>
      <c r="D75" s="4" t="s">
        <v>2594</v>
      </c>
      <c r="E75" s="4" t="s">
        <v>2595</v>
      </c>
      <c r="F75" s="4" t="s">
        <v>2596</v>
      </c>
      <c r="G75" s="4" t="s">
        <v>2597</v>
      </c>
      <c r="H75" s="4" t="s">
        <v>2598</v>
      </c>
      <c r="I75" s="4" t="s">
        <v>2599</v>
      </c>
      <c r="J75" s="6" t="s">
        <v>2215</v>
      </c>
      <c r="K75" s="6" t="s">
        <v>2051</v>
      </c>
    </row>
    <row r="76" spans="1:11" ht="114.75" x14ac:dyDescent="0.3">
      <c r="A76" s="6" t="s">
        <v>1396</v>
      </c>
      <c r="B76" s="4" t="s">
        <v>2600</v>
      </c>
      <c r="C76" s="4" t="s">
        <v>2601</v>
      </c>
      <c r="D76" s="4" t="s">
        <v>2602</v>
      </c>
      <c r="E76" s="4" t="s">
        <v>2603</v>
      </c>
      <c r="F76" s="4" t="s">
        <v>2604</v>
      </c>
      <c r="G76" s="4" t="s">
        <v>2605</v>
      </c>
      <c r="H76" s="4" t="s">
        <v>2606</v>
      </c>
      <c r="I76" s="4" t="s">
        <v>2607</v>
      </c>
      <c r="J76" s="6" t="s">
        <v>2215</v>
      </c>
      <c r="K76" s="6" t="s">
        <v>2051</v>
      </c>
    </row>
    <row r="77" spans="1:11" ht="63.75" x14ac:dyDescent="0.3">
      <c r="A77" s="6" t="s">
        <v>1396</v>
      </c>
      <c r="B77" s="4" t="s">
        <v>2608</v>
      </c>
      <c r="C77" s="4" t="s">
        <v>2609</v>
      </c>
      <c r="D77" s="4" t="s">
        <v>2610</v>
      </c>
      <c r="E77" s="4" t="s">
        <v>2611</v>
      </c>
      <c r="F77" s="4" t="s">
        <v>2612</v>
      </c>
      <c r="G77" s="4" t="s">
        <v>2613</v>
      </c>
      <c r="H77" s="4" t="s">
        <v>2614</v>
      </c>
      <c r="I77" s="4" t="s">
        <v>2615</v>
      </c>
      <c r="J77" s="6" t="s">
        <v>2041</v>
      </c>
      <c r="K77" s="6" t="s">
        <v>2051</v>
      </c>
    </row>
    <row r="78" spans="1:11" ht="102" x14ac:dyDescent="0.3">
      <c r="A78" s="6" t="s">
        <v>1396</v>
      </c>
      <c r="B78" s="4" t="s">
        <v>2616</v>
      </c>
      <c r="C78" s="4" t="s">
        <v>2617</v>
      </c>
      <c r="D78" s="4" t="s">
        <v>2618</v>
      </c>
      <c r="E78" s="4" t="s">
        <v>2619</v>
      </c>
      <c r="F78" s="4" t="s">
        <v>2620</v>
      </c>
      <c r="G78" s="4" t="s">
        <v>2621</v>
      </c>
      <c r="H78" s="4" t="s">
        <v>2622</v>
      </c>
      <c r="I78" s="4" t="s">
        <v>2623</v>
      </c>
      <c r="J78" s="6" t="s">
        <v>2041</v>
      </c>
      <c r="K78" s="6" t="s">
        <v>2051</v>
      </c>
    </row>
    <row r="79" spans="1:11" ht="76.5" x14ac:dyDescent="0.3">
      <c r="A79" s="6" t="s">
        <v>1396</v>
      </c>
      <c r="B79" s="4" t="s">
        <v>2624</v>
      </c>
      <c r="C79" s="4" t="s">
        <v>2625</v>
      </c>
      <c r="D79" s="4" t="s">
        <v>2626</v>
      </c>
      <c r="E79" s="4" t="s">
        <v>2627</v>
      </c>
      <c r="F79" s="4" t="s">
        <v>2628</v>
      </c>
      <c r="G79" s="4" t="s">
        <v>2629</v>
      </c>
      <c r="H79" s="4" t="s">
        <v>2630</v>
      </c>
      <c r="I79" s="4" t="s">
        <v>2631</v>
      </c>
      <c r="J79" s="6" t="s">
        <v>2041</v>
      </c>
      <c r="K79" s="6" t="s">
        <v>2042</v>
      </c>
    </row>
    <row r="80" spans="1:11" ht="63.75" x14ac:dyDescent="0.3">
      <c r="A80" s="6" t="s">
        <v>1396</v>
      </c>
      <c r="B80" s="4" t="s">
        <v>2632</v>
      </c>
      <c r="C80" s="4" t="s">
        <v>2633</v>
      </c>
      <c r="D80" s="4" t="s">
        <v>2634</v>
      </c>
      <c r="E80" s="4" t="s">
        <v>2635</v>
      </c>
      <c r="F80" s="4" t="s">
        <v>2636</v>
      </c>
      <c r="G80" s="4" t="s">
        <v>2637</v>
      </c>
      <c r="H80" s="4" t="s">
        <v>2638</v>
      </c>
      <c r="I80" s="4" t="s">
        <v>2639</v>
      </c>
      <c r="J80" s="6" t="s">
        <v>2041</v>
      </c>
      <c r="K80" s="6" t="s">
        <v>2085</v>
      </c>
    </row>
    <row r="81" spans="1:11" ht="127.5" x14ac:dyDescent="0.3">
      <c r="A81" s="6" t="s">
        <v>1396</v>
      </c>
      <c r="B81" s="4" t="s">
        <v>2640</v>
      </c>
      <c r="C81" s="4" t="s">
        <v>2641</v>
      </c>
      <c r="D81" s="4" t="s">
        <v>2642</v>
      </c>
      <c r="E81" s="4" t="s">
        <v>2643</v>
      </c>
      <c r="F81" s="4" t="s">
        <v>2644</v>
      </c>
      <c r="G81" s="4" t="s">
        <v>2645</v>
      </c>
      <c r="H81" s="4" t="s">
        <v>2646</v>
      </c>
      <c r="I81" s="4" t="s">
        <v>2647</v>
      </c>
      <c r="J81" s="6" t="s">
        <v>2041</v>
      </c>
      <c r="K81" s="6" t="s">
        <v>2042</v>
      </c>
    </row>
    <row r="82" spans="1:11" ht="89.25" x14ac:dyDescent="0.3">
      <c r="A82" s="6" t="s">
        <v>1396</v>
      </c>
      <c r="B82" s="4" t="s">
        <v>2648</v>
      </c>
      <c r="C82" s="4" t="s">
        <v>2649</v>
      </c>
      <c r="D82" s="4" t="s">
        <v>2650</v>
      </c>
      <c r="E82" s="4" t="s">
        <v>2651</v>
      </c>
      <c r="F82" s="4" t="s">
        <v>2652</v>
      </c>
      <c r="G82" s="4" t="s">
        <v>2653</v>
      </c>
      <c r="H82" s="4" t="s">
        <v>2654</v>
      </c>
      <c r="I82" s="4" t="s">
        <v>2655</v>
      </c>
      <c r="J82" s="6" t="s">
        <v>2041</v>
      </c>
      <c r="K82" s="6" t="s">
        <v>2042</v>
      </c>
    </row>
    <row r="83" spans="1:11" ht="51" x14ac:dyDescent="0.3">
      <c r="A83" s="6" t="s">
        <v>1396</v>
      </c>
      <c r="B83" s="4" t="s">
        <v>2656</v>
      </c>
      <c r="C83" s="4" t="s">
        <v>2657</v>
      </c>
      <c r="D83" s="4" t="s">
        <v>2658</v>
      </c>
      <c r="E83" s="4" t="s">
        <v>2659</v>
      </c>
      <c r="F83" s="4" t="s">
        <v>2660</v>
      </c>
      <c r="G83" s="4" t="s">
        <v>2661</v>
      </c>
      <c r="H83" s="4" t="s">
        <v>2662</v>
      </c>
      <c r="I83" s="4" t="s">
        <v>2663</v>
      </c>
      <c r="J83" s="6" t="s">
        <v>2041</v>
      </c>
      <c r="K83" s="6" t="s">
        <v>2051</v>
      </c>
    </row>
    <row r="84" spans="1:11" ht="51" x14ac:dyDescent="0.3">
      <c r="A84" s="6" t="s">
        <v>1396</v>
      </c>
      <c r="B84" s="4" t="s">
        <v>2664</v>
      </c>
      <c r="C84" s="4" t="s">
        <v>2665</v>
      </c>
      <c r="D84" s="4" t="s">
        <v>2666</v>
      </c>
      <c r="E84" s="4" t="s">
        <v>2667</v>
      </c>
      <c r="F84" s="4" t="s">
        <v>2668</v>
      </c>
      <c r="G84" s="4" t="s">
        <v>2669</v>
      </c>
      <c r="H84" s="4" t="s">
        <v>2670</v>
      </c>
      <c r="I84" s="4" t="s">
        <v>2671</v>
      </c>
      <c r="J84" s="6" t="s">
        <v>2102</v>
      </c>
      <c r="K84" s="6" t="s">
        <v>2051</v>
      </c>
    </row>
    <row r="85" spans="1:11" ht="63.75" x14ac:dyDescent="0.3">
      <c r="A85" s="6" t="s">
        <v>1396</v>
      </c>
      <c r="B85" s="4" t="s">
        <v>2672</v>
      </c>
      <c r="C85" s="4" t="s">
        <v>2673</v>
      </c>
      <c r="D85" s="4" t="s">
        <v>2674</v>
      </c>
      <c r="E85" s="4" t="s">
        <v>2675</v>
      </c>
      <c r="F85" s="4" t="s">
        <v>2676</v>
      </c>
      <c r="G85" s="4" t="s">
        <v>2677</v>
      </c>
      <c r="H85" s="4" t="s">
        <v>2678</v>
      </c>
      <c r="I85" s="4" t="s">
        <v>2679</v>
      </c>
      <c r="J85" s="6" t="s">
        <v>2102</v>
      </c>
      <c r="K85" s="6" t="s">
        <v>2085</v>
      </c>
    </row>
    <row r="86" spans="1:11" ht="51" x14ac:dyDescent="0.3">
      <c r="A86" s="6" t="s">
        <v>1396</v>
      </c>
      <c r="B86" s="4" t="s">
        <v>2680</v>
      </c>
      <c r="C86" s="4" t="s">
        <v>2681</v>
      </c>
      <c r="D86" s="4" t="s">
        <v>2682</v>
      </c>
      <c r="E86" s="4" t="s">
        <v>2683</v>
      </c>
      <c r="F86" s="4" t="s">
        <v>2684</v>
      </c>
      <c r="G86" s="4" t="s">
        <v>2685</v>
      </c>
      <c r="H86" s="4" t="s">
        <v>2686</v>
      </c>
      <c r="I86" s="4" t="s">
        <v>2687</v>
      </c>
      <c r="J86" s="6" t="s">
        <v>2102</v>
      </c>
      <c r="K86" s="6" t="s">
        <v>2042</v>
      </c>
    </row>
    <row r="87" spans="1:11" ht="76.5" x14ac:dyDescent="0.3">
      <c r="A87" s="6" t="s">
        <v>1396</v>
      </c>
      <c r="B87" s="4" t="s">
        <v>2688</v>
      </c>
      <c r="C87" s="4" t="s">
        <v>2689</v>
      </c>
      <c r="D87" s="4" t="s">
        <v>2690</v>
      </c>
      <c r="E87" s="4" t="s">
        <v>2691</v>
      </c>
      <c r="F87" s="4" t="s">
        <v>2692</v>
      </c>
      <c r="G87" s="4" t="s">
        <v>2693</v>
      </c>
      <c r="H87" s="4" t="s">
        <v>2694</v>
      </c>
      <c r="I87" s="4" t="s">
        <v>2695</v>
      </c>
      <c r="J87" s="6" t="s">
        <v>2102</v>
      </c>
      <c r="K87" s="6" t="s">
        <v>2042</v>
      </c>
    </row>
    <row r="88" spans="1:11" ht="102" x14ac:dyDescent="0.3">
      <c r="A88" s="6" t="s">
        <v>1396</v>
      </c>
      <c r="B88" s="4" t="s">
        <v>2696</v>
      </c>
      <c r="C88" s="4" t="s">
        <v>2697</v>
      </c>
      <c r="D88" s="4" t="s">
        <v>2698</v>
      </c>
      <c r="E88" s="4" t="s">
        <v>2699</v>
      </c>
      <c r="F88" s="4" t="s">
        <v>2700</v>
      </c>
      <c r="G88" s="4" t="s">
        <v>2701</v>
      </c>
      <c r="H88" s="4" t="s">
        <v>2702</v>
      </c>
      <c r="I88" s="4" t="s">
        <v>2703</v>
      </c>
      <c r="J88" s="6" t="s">
        <v>2102</v>
      </c>
      <c r="K88" s="6" t="s">
        <v>2085</v>
      </c>
    </row>
    <row r="89" spans="1:11" ht="114.75" x14ac:dyDescent="0.3">
      <c r="A89" s="6" t="s">
        <v>1396</v>
      </c>
      <c r="B89" s="4" t="s">
        <v>2704</v>
      </c>
      <c r="C89" s="4" t="s">
        <v>2705</v>
      </c>
      <c r="D89" s="4" t="s">
        <v>2706</v>
      </c>
      <c r="E89" s="4" t="s">
        <v>2707</v>
      </c>
      <c r="F89" s="4" t="s">
        <v>2708</v>
      </c>
      <c r="G89" s="4" t="s">
        <v>2709</v>
      </c>
      <c r="H89" s="4" t="s">
        <v>2710</v>
      </c>
      <c r="I89" s="4" t="s">
        <v>2711</v>
      </c>
      <c r="J89" s="6" t="s">
        <v>2102</v>
      </c>
      <c r="K89" s="6" t="s">
        <v>2042</v>
      </c>
    </row>
    <row r="90" spans="1:11" ht="102" x14ac:dyDescent="0.3">
      <c r="A90" s="6" t="s">
        <v>1396</v>
      </c>
      <c r="B90" s="4" t="s">
        <v>2712</v>
      </c>
      <c r="C90" s="4" t="s">
        <v>2713</v>
      </c>
      <c r="D90" s="4" t="s">
        <v>2714</v>
      </c>
      <c r="E90" s="4" t="s">
        <v>2715</v>
      </c>
      <c r="F90" s="4" t="s">
        <v>2716</v>
      </c>
      <c r="G90" s="4" t="s">
        <v>2717</v>
      </c>
      <c r="H90" s="4" t="s">
        <v>2718</v>
      </c>
      <c r="I90" s="4" t="s">
        <v>2719</v>
      </c>
      <c r="J90" s="6" t="s">
        <v>2060</v>
      </c>
      <c r="K90" s="6" t="s">
        <v>2042</v>
      </c>
    </row>
    <row r="91" spans="1:11" ht="102" x14ac:dyDescent="0.3">
      <c r="A91" s="6" t="s">
        <v>1396</v>
      </c>
      <c r="B91" s="4" t="s">
        <v>2720</v>
      </c>
      <c r="C91" s="4" t="s">
        <v>2721</v>
      </c>
      <c r="D91" s="4" t="s">
        <v>2722</v>
      </c>
      <c r="E91" s="4" t="s">
        <v>2723</v>
      </c>
      <c r="F91" s="4" t="s">
        <v>2724</v>
      </c>
      <c r="G91" s="4" t="s">
        <v>2725</v>
      </c>
      <c r="H91" s="4" t="s">
        <v>2726</v>
      </c>
      <c r="I91" s="4" t="s">
        <v>2727</v>
      </c>
      <c r="J91" s="6" t="s">
        <v>2060</v>
      </c>
      <c r="K91" s="6" t="s">
        <v>2085</v>
      </c>
    </row>
    <row r="92" spans="1:11" ht="114.75" x14ac:dyDescent="0.3">
      <c r="A92" s="6" t="s">
        <v>1396</v>
      </c>
      <c r="B92" s="4" t="s">
        <v>2728</v>
      </c>
      <c r="C92" s="4" t="s">
        <v>2729</v>
      </c>
      <c r="D92" s="4" t="s">
        <v>2730</v>
      </c>
      <c r="E92" s="4" t="s">
        <v>2731</v>
      </c>
      <c r="F92" s="4" t="s">
        <v>2732</v>
      </c>
      <c r="G92" s="4" t="s">
        <v>2733</v>
      </c>
      <c r="H92" s="4" t="s">
        <v>2734</v>
      </c>
      <c r="I92" s="4" t="s">
        <v>2735</v>
      </c>
      <c r="J92" s="6" t="s">
        <v>2060</v>
      </c>
      <c r="K92" s="6" t="s">
        <v>2085</v>
      </c>
    </row>
    <row r="93" spans="1:11" ht="127.5" x14ac:dyDescent="0.3">
      <c r="A93" s="6" t="s">
        <v>1396</v>
      </c>
      <c r="B93" s="4" t="s">
        <v>2736</v>
      </c>
      <c r="C93" s="4" t="s">
        <v>2737</v>
      </c>
      <c r="D93" s="4" t="s">
        <v>2738</v>
      </c>
      <c r="E93" s="4" t="s">
        <v>2739</v>
      </c>
      <c r="F93" s="4" t="s">
        <v>2740</v>
      </c>
      <c r="G93" s="4" t="s">
        <v>2741</v>
      </c>
      <c r="H93" s="4" t="s">
        <v>2742</v>
      </c>
      <c r="I93" s="4" t="s">
        <v>2743</v>
      </c>
      <c r="J93" s="6" t="s">
        <v>2041</v>
      </c>
      <c r="K93" s="6" t="s">
        <v>2042</v>
      </c>
    </row>
    <row r="94" spans="1:11" ht="102" x14ac:dyDescent="0.3">
      <c r="A94" s="6" t="s">
        <v>1396</v>
      </c>
      <c r="B94" s="4" t="s">
        <v>2744</v>
      </c>
      <c r="C94" s="4" t="s">
        <v>2745</v>
      </c>
      <c r="D94" s="4" t="s">
        <v>2746</v>
      </c>
      <c r="E94" s="4" t="s">
        <v>2747</v>
      </c>
      <c r="F94" s="4" t="s">
        <v>2748</v>
      </c>
      <c r="G94" s="4" t="s">
        <v>2749</v>
      </c>
      <c r="H94" s="4" t="s">
        <v>2750</v>
      </c>
      <c r="I94" s="4" t="s">
        <v>2751</v>
      </c>
      <c r="J94" s="6" t="s">
        <v>2102</v>
      </c>
      <c r="K94" s="6" t="s">
        <v>2085</v>
      </c>
    </row>
    <row r="95" spans="1:11" ht="89.25" x14ac:dyDescent="0.3">
      <c r="A95" s="6" t="s">
        <v>1396</v>
      </c>
      <c r="B95" s="4" t="s">
        <v>2752</v>
      </c>
      <c r="C95" s="4" t="s">
        <v>2753</v>
      </c>
      <c r="D95" s="4" t="s">
        <v>2754</v>
      </c>
      <c r="E95" s="4" t="s">
        <v>2755</v>
      </c>
      <c r="F95" s="4" t="s">
        <v>2756</v>
      </c>
      <c r="G95" s="4" t="s">
        <v>2757</v>
      </c>
      <c r="H95" s="4" t="s">
        <v>2758</v>
      </c>
      <c r="I95" s="4" t="s">
        <v>2759</v>
      </c>
      <c r="J95" s="6" t="s">
        <v>2041</v>
      </c>
      <c r="K95" s="6" t="s">
        <v>2042</v>
      </c>
    </row>
    <row r="96" spans="1:11" ht="51" x14ac:dyDescent="0.3">
      <c r="A96" s="6" t="s">
        <v>1396</v>
      </c>
      <c r="B96" s="4" t="s">
        <v>2760</v>
      </c>
      <c r="C96" s="4" t="s">
        <v>2761</v>
      </c>
      <c r="D96" s="4" t="s">
        <v>2762</v>
      </c>
      <c r="E96" s="4" t="s">
        <v>2763</v>
      </c>
      <c r="F96" s="4" t="s">
        <v>2764</v>
      </c>
      <c r="G96" s="4" t="s">
        <v>2765</v>
      </c>
      <c r="H96" s="4" t="s">
        <v>2766</v>
      </c>
      <c r="I96" s="4" t="s">
        <v>2767</v>
      </c>
      <c r="J96" s="6" t="s">
        <v>2060</v>
      </c>
      <c r="K96" s="6" t="s">
        <v>2042</v>
      </c>
    </row>
    <row r="97" spans="1:11" ht="51" x14ac:dyDescent="0.3">
      <c r="A97" s="6" t="s">
        <v>1396</v>
      </c>
      <c r="B97" s="4" t="s">
        <v>2768</v>
      </c>
      <c r="C97" s="4" t="s">
        <v>2769</v>
      </c>
      <c r="D97" s="4" t="s">
        <v>2770</v>
      </c>
      <c r="E97" s="4" t="s">
        <v>2771</v>
      </c>
      <c r="F97" s="4" t="s">
        <v>2772</v>
      </c>
      <c r="G97" s="4" t="s">
        <v>2773</v>
      </c>
      <c r="H97" s="4" t="s">
        <v>2518</v>
      </c>
      <c r="I97" s="4" t="s">
        <v>2774</v>
      </c>
      <c r="J97" s="6" t="s">
        <v>2060</v>
      </c>
      <c r="K97" s="6" t="s">
        <v>2042</v>
      </c>
    </row>
    <row r="98" spans="1:11" ht="140.25" x14ac:dyDescent="0.3">
      <c r="A98" s="6" t="s">
        <v>1431</v>
      </c>
      <c r="B98" s="4" t="s">
        <v>2775</v>
      </c>
      <c r="C98" s="4" t="s">
        <v>2776</v>
      </c>
      <c r="D98" s="4" t="s">
        <v>2777</v>
      </c>
      <c r="E98" s="4" t="s">
        <v>2778</v>
      </c>
      <c r="F98" s="4" t="s">
        <v>2779</v>
      </c>
      <c r="G98" s="4" t="s">
        <v>2780</v>
      </c>
      <c r="H98" s="4" t="s">
        <v>2781</v>
      </c>
      <c r="I98" s="4" t="s">
        <v>2782</v>
      </c>
      <c r="J98" s="6" t="s">
        <v>2060</v>
      </c>
      <c r="K98" s="6" t="s">
        <v>2042</v>
      </c>
    </row>
    <row r="99" spans="1:11" ht="153" x14ac:dyDescent="0.3">
      <c r="A99" s="6" t="s">
        <v>1431</v>
      </c>
      <c r="B99" s="4" t="s">
        <v>2783</v>
      </c>
      <c r="C99" s="4" t="s">
        <v>2784</v>
      </c>
      <c r="D99" s="4" t="s">
        <v>2785</v>
      </c>
      <c r="E99" s="4" t="s">
        <v>2786</v>
      </c>
      <c r="F99" s="4" t="s">
        <v>2787</v>
      </c>
      <c r="G99" s="4" t="s">
        <v>2788</v>
      </c>
      <c r="H99" s="4" t="s">
        <v>2789</v>
      </c>
      <c r="I99" s="4" t="s">
        <v>2790</v>
      </c>
      <c r="J99" s="6" t="s">
        <v>2041</v>
      </c>
      <c r="K99" s="6" t="s">
        <v>2042</v>
      </c>
    </row>
    <row r="100" spans="1:11" ht="114.75" x14ac:dyDescent="0.3">
      <c r="A100" s="6" t="s">
        <v>1431</v>
      </c>
      <c r="B100" s="4" t="s">
        <v>2791</v>
      </c>
      <c r="C100" s="4" t="s">
        <v>2792</v>
      </c>
      <c r="D100" s="4" t="s">
        <v>2793</v>
      </c>
      <c r="E100" s="4" t="s">
        <v>2794</v>
      </c>
      <c r="F100" s="4" t="s">
        <v>2795</v>
      </c>
      <c r="G100" s="4" t="s">
        <v>2796</v>
      </c>
      <c r="H100" s="4" t="s">
        <v>2797</v>
      </c>
      <c r="I100" s="4" t="s">
        <v>2798</v>
      </c>
      <c r="J100" s="6" t="s">
        <v>2041</v>
      </c>
      <c r="K100" s="6" t="s">
        <v>2085</v>
      </c>
    </row>
    <row r="101" spans="1:11" ht="127.5" x14ac:dyDescent="0.3">
      <c r="A101" s="6" t="s">
        <v>1431</v>
      </c>
      <c r="B101" s="4" t="s">
        <v>2799</v>
      </c>
      <c r="C101" s="4" t="s">
        <v>2800</v>
      </c>
      <c r="D101" s="4" t="s">
        <v>2801</v>
      </c>
      <c r="E101" s="4" t="s">
        <v>2802</v>
      </c>
      <c r="F101" s="4" t="s">
        <v>2803</v>
      </c>
      <c r="G101" s="4" t="s">
        <v>2804</v>
      </c>
      <c r="H101" s="4" t="s">
        <v>2805</v>
      </c>
      <c r="I101" s="4" t="s">
        <v>2806</v>
      </c>
      <c r="J101" s="6" t="s">
        <v>2060</v>
      </c>
      <c r="K101" s="6" t="s">
        <v>2042</v>
      </c>
    </row>
    <row r="102" spans="1:11" ht="140.25" x14ac:dyDescent="0.3">
      <c r="A102" s="6" t="s">
        <v>1431</v>
      </c>
      <c r="B102" s="4" t="s">
        <v>2807</v>
      </c>
      <c r="C102" s="4" t="s">
        <v>2808</v>
      </c>
      <c r="D102" s="4" t="s">
        <v>2809</v>
      </c>
      <c r="E102" s="4" t="s">
        <v>2810</v>
      </c>
      <c r="F102" s="4" t="s">
        <v>2811</v>
      </c>
      <c r="G102" s="4" t="s">
        <v>2812</v>
      </c>
      <c r="H102" s="4" t="s">
        <v>2813</v>
      </c>
      <c r="I102" s="4" t="s">
        <v>2814</v>
      </c>
      <c r="J102" s="6" t="s">
        <v>2215</v>
      </c>
      <c r="K102" s="6" t="s">
        <v>2051</v>
      </c>
    </row>
    <row r="103" spans="1:11" ht="127.5" x14ac:dyDescent="0.3">
      <c r="A103" s="6" t="s">
        <v>1431</v>
      </c>
      <c r="B103" s="4" t="s">
        <v>2815</v>
      </c>
      <c r="C103" s="4" t="s">
        <v>2816</v>
      </c>
      <c r="D103" s="4" t="s">
        <v>2817</v>
      </c>
      <c r="E103" s="4" t="s">
        <v>2818</v>
      </c>
      <c r="F103" s="4" t="s">
        <v>2819</v>
      </c>
      <c r="G103" s="4" t="s">
        <v>2820</v>
      </c>
      <c r="H103" s="4" t="s">
        <v>2821</v>
      </c>
      <c r="I103" s="4" t="s">
        <v>2822</v>
      </c>
      <c r="J103" s="6" t="s">
        <v>2041</v>
      </c>
      <c r="K103" s="6" t="s">
        <v>2042</v>
      </c>
    </row>
    <row r="104" spans="1:11" ht="114.75" x14ac:dyDescent="0.3">
      <c r="A104" s="6" t="s">
        <v>1431</v>
      </c>
      <c r="B104" s="4" t="s">
        <v>2823</v>
      </c>
      <c r="C104" s="4" t="s">
        <v>2824</v>
      </c>
      <c r="D104" s="4" t="s">
        <v>2825</v>
      </c>
      <c r="E104" s="4" t="s">
        <v>2826</v>
      </c>
      <c r="F104" s="4" t="s">
        <v>2827</v>
      </c>
      <c r="G104" s="4" t="s">
        <v>2828</v>
      </c>
      <c r="H104" s="4" t="s">
        <v>2829</v>
      </c>
      <c r="I104" s="4" t="s">
        <v>2830</v>
      </c>
      <c r="J104" s="6" t="s">
        <v>2060</v>
      </c>
      <c r="K104" s="6" t="s">
        <v>2042</v>
      </c>
    </row>
    <row r="105" spans="1:11" ht="102" x14ac:dyDescent="0.3">
      <c r="A105" s="6" t="s">
        <v>1431</v>
      </c>
      <c r="B105" s="4" t="s">
        <v>2831</v>
      </c>
      <c r="C105" s="4" t="s">
        <v>2832</v>
      </c>
      <c r="D105" s="4" t="s">
        <v>2833</v>
      </c>
      <c r="E105" s="4" t="s">
        <v>2834</v>
      </c>
      <c r="F105" s="4" t="s">
        <v>2835</v>
      </c>
      <c r="G105" s="4" t="s">
        <v>2836</v>
      </c>
      <c r="H105" s="4" t="s">
        <v>2837</v>
      </c>
      <c r="I105" s="4" t="s">
        <v>2838</v>
      </c>
      <c r="J105" s="6" t="s">
        <v>2060</v>
      </c>
      <c r="K105" s="6" t="s">
        <v>2042</v>
      </c>
    </row>
    <row r="106" spans="1:11" ht="63.75" x14ac:dyDescent="0.3">
      <c r="A106" s="6" t="s">
        <v>1431</v>
      </c>
      <c r="B106" s="4" t="s">
        <v>2839</v>
      </c>
      <c r="C106" s="4" t="s">
        <v>2840</v>
      </c>
      <c r="D106" s="4" t="s">
        <v>2841</v>
      </c>
      <c r="E106" s="4" t="s">
        <v>2842</v>
      </c>
      <c r="F106" s="4" t="s">
        <v>2843</v>
      </c>
      <c r="G106" s="4" t="s">
        <v>2844</v>
      </c>
      <c r="H106" s="4" t="s">
        <v>2845</v>
      </c>
      <c r="I106" s="4" t="s">
        <v>2846</v>
      </c>
      <c r="J106" s="6" t="s">
        <v>2041</v>
      </c>
      <c r="K106" s="6" t="s">
        <v>2085</v>
      </c>
    </row>
    <row r="107" spans="1:11" ht="127.5" x14ac:dyDescent="0.3">
      <c r="A107" s="6" t="s">
        <v>1431</v>
      </c>
      <c r="B107" s="4" t="s">
        <v>2847</v>
      </c>
      <c r="C107" s="4" t="s">
        <v>2848</v>
      </c>
      <c r="D107" s="4" t="s">
        <v>2849</v>
      </c>
      <c r="E107" s="4" t="s">
        <v>2850</v>
      </c>
      <c r="F107" s="4" t="s">
        <v>2851</v>
      </c>
      <c r="G107" s="4" t="s">
        <v>2852</v>
      </c>
      <c r="H107" s="4" t="s">
        <v>2853</v>
      </c>
      <c r="I107" s="4" t="s">
        <v>2854</v>
      </c>
      <c r="J107" s="6" t="s">
        <v>2041</v>
      </c>
      <c r="K107" s="6" t="s">
        <v>2042</v>
      </c>
    </row>
    <row r="108" spans="1:11" ht="51" x14ac:dyDescent="0.3">
      <c r="A108" s="6" t="s">
        <v>1431</v>
      </c>
      <c r="B108" s="4" t="s">
        <v>2855</v>
      </c>
      <c r="C108" s="4" t="s">
        <v>2856</v>
      </c>
      <c r="D108" s="4" t="s">
        <v>2857</v>
      </c>
      <c r="E108" s="4" t="s">
        <v>2858</v>
      </c>
      <c r="F108" s="4" t="s">
        <v>2859</v>
      </c>
      <c r="G108" s="4" t="s">
        <v>2860</v>
      </c>
      <c r="H108" s="4" t="s">
        <v>2861</v>
      </c>
      <c r="I108" s="4" t="s">
        <v>2862</v>
      </c>
      <c r="J108" s="6" t="s">
        <v>2215</v>
      </c>
      <c r="K108" s="6" t="s">
        <v>2051</v>
      </c>
    </row>
    <row r="109" spans="1:11" ht="102" x14ac:dyDescent="0.3">
      <c r="A109" s="6" t="s">
        <v>1459</v>
      </c>
      <c r="B109" s="4" t="s">
        <v>2863</v>
      </c>
      <c r="C109" s="4" t="s">
        <v>2864</v>
      </c>
      <c r="D109" s="4" t="s">
        <v>2865</v>
      </c>
      <c r="E109" s="4" t="s">
        <v>2866</v>
      </c>
      <c r="F109" s="4" t="s">
        <v>2867</v>
      </c>
      <c r="G109" s="4" t="s">
        <v>2868</v>
      </c>
      <c r="H109" s="4" t="s">
        <v>2869</v>
      </c>
      <c r="I109" s="4" t="s">
        <v>2870</v>
      </c>
      <c r="J109" s="6" t="s">
        <v>2041</v>
      </c>
      <c r="K109" s="6" t="s">
        <v>2042</v>
      </c>
    </row>
    <row r="110" spans="1:11" ht="153" x14ac:dyDescent="0.3">
      <c r="A110" s="6" t="s">
        <v>1459</v>
      </c>
      <c r="B110" s="4" t="s">
        <v>2871</v>
      </c>
      <c r="C110" s="4" t="s">
        <v>2872</v>
      </c>
      <c r="D110" s="4" t="s">
        <v>2873</v>
      </c>
      <c r="E110" s="4" t="s">
        <v>2874</v>
      </c>
      <c r="F110" s="4" t="s">
        <v>2875</v>
      </c>
      <c r="G110" s="4" t="s">
        <v>2876</v>
      </c>
      <c r="H110" s="4" t="s">
        <v>2877</v>
      </c>
      <c r="I110" s="4" t="s">
        <v>2878</v>
      </c>
      <c r="J110" s="6" t="s">
        <v>2041</v>
      </c>
      <c r="K110" s="6" t="s">
        <v>2042</v>
      </c>
    </row>
    <row r="111" spans="1:11" ht="114.75" x14ac:dyDescent="0.3">
      <c r="A111" s="6" t="s">
        <v>1459</v>
      </c>
      <c r="B111" s="4" t="s">
        <v>2879</v>
      </c>
      <c r="C111" s="4" t="s">
        <v>2880</v>
      </c>
      <c r="D111" s="4" t="s">
        <v>2881</v>
      </c>
      <c r="E111" s="4" t="s">
        <v>2882</v>
      </c>
      <c r="F111" s="4" t="s">
        <v>2883</v>
      </c>
      <c r="G111" s="4" t="s">
        <v>2884</v>
      </c>
      <c r="H111" s="4" t="s">
        <v>2885</v>
      </c>
      <c r="I111" s="4" t="s">
        <v>2886</v>
      </c>
      <c r="J111" s="6" t="s">
        <v>2041</v>
      </c>
      <c r="K111" s="6" t="s">
        <v>2042</v>
      </c>
    </row>
    <row r="112" spans="1:11" ht="63.75" x14ac:dyDescent="0.3">
      <c r="A112" s="6" t="s">
        <v>1459</v>
      </c>
      <c r="B112" s="4" t="s">
        <v>2887</v>
      </c>
      <c r="C112" s="4" t="s">
        <v>2888</v>
      </c>
      <c r="D112" s="4" t="s">
        <v>2889</v>
      </c>
      <c r="E112" s="4" t="s">
        <v>2890</v>
      </c>
      <c r="F112" s="4" t="s">
        <v>2891</v>
      </c>
      <c r="G112" s="4" t="s">
        <v>2892</v>
      </c>
      <c r="H112" s="4" t="s">
        <v>2893</v>
      </c>
      <c r="I112" s="4" t="s">
        <v>2894</v>
      </c>
      <c r="J112" s="6" t="s">
        <v>2215</v>
      </c>
      <c r="K112" s="6" t="s">
        <v>2051</v>
      </c>
    </row>
    <row r="113" spans="1:11" ht="127.5" x14ac:dyDescent="0.3">
      <c r="A113" s="6" t="s">
        <v>1459</v>
      </c>
      <c r="B113" s="4" t="s">
        <v>2895</v>
      </c>
      <c r="C113" s="4" t="s">
        <v>2896</v>
      </c>
      <c r="D113" s="4" t="s">
        <v>2897</v>
      </c>
      <c r="E113" s="4" t="s">
        <v>2898</v>
      </c>
      <c r="F113" s="4" t="s">
        <v>2899</v>
      </c>
      <c r="G113" s="4" t="s">
        <v>2900</v>
      </c>
      <c r="H113" s="4" t="s">
        <v>2901</v>
      </c>
      <c r="I113" s="4" t="s">
        <v>2902</v>
      </c>
      <c r="J113" s="6" t="s">
        <v>2102</v>
      </c>
      <c r="K113" s="6" t="s">
        <v>2085</v>
      </c>
    </row>
    <row r="114" spans="1:11" ht="89.25" x14ac:dyDescent="0.3">
      <c r="A114" s="6" t="s">
        <v>1459</v>
      </c>
      <c r="B114" s="4" t="s">
        <v>2903</v>
      </c>
      <c r="C114" s="4" t="s">
        <v>2904</v>
      </c>
      <c r="D114" s="4" t="s">
        <v>2905</v>
      </c>
      <c r="E114" s="4" t="s">
        <v>2906</v>
      </c>
      <c r="F114" s="4" t="s">
        <v>2907</v>
      </c>
      <c r="G114" s="4" t="s">
        <v>2908</v>
      </c>
      <c r="H114" s="4" t="s">
        <v>2909</v>
      </c>
      <c r="I114" s="4" t="s">
        <v>2910</v>
      </c>
      <c r="J114" s="6" t="s">
        <v>2060</v>
      </c>
      <c r="K114" s="6" t="s">
        <v>2085</v>
      </c>
    </row>
    <row r="115" spans="1:11" ht="114.75" x14ac:dyDescent="0.3">
      <c r="A115" s="6" t="s">
        <v>1459</v>
      </c>
      <c r="B115" s="4" t="s">
        <v>2911</v>
      </c>
      <c r="C115" s="4" t="s">
        <v>2912</v>
      </c>
      <c r="D115" s="4" t="s">
        <v>2913</v>
      </c>
      <c r="E115" s="4" t="s">
        <v>2914</v>
      </c>
      <c r="F115" s="4" t="s">
        <v>2915</v>
      </c>
      <c r="G115" s="4" t="s">
        <v>2916</v>
      </c>
      <c r="H115" s="4" t="s">
        <v>2917</v>
      </c>
      <c r="I115" s="4" t="s">
        <v>2918</v>
      </c>
      <c r="J115" s="6" t="s">
        <v>2102</v>
      </c>
      <c r="K115" s="6" t="s">
        <v>2085</v>
      </c>
    </row>
    <row r="116" spans="1:11" ht="76.5" x14ac:dyDescent="0.3">
      <c r="A116" s="6" t="s">
        <v>1459</v>
      </c>
      <c r="B116" s="4" t="s">
        <v>2919</v>
      </c>
      <c r="C116" s="4" t="s">
        <v>2920</v>
      </c>
      <c r="D116" s="4" t="s">
        <v>2921</v>
      </c>
      <c r="E116" s="4" t="s">
        <v>2922</v>
      </c>
      <c r="F116" s="4" t="s">
        <v>2923</v>
      </c>
      <c r="G116" s="4" t="s">
        <v>2924</v>
      </c>
      <c r="H116" s="4" t="s">
        <v>2925</v>
      </c>
      <c r="I116" s="4" t="s">
        <v>2926</v>
      </c>
      <c r="J116" s="6" t="s">
        <v>2041</v>
      </c>
      <c r="K116" s="6" t="s">
        <v>2042</v>
      </c>
    </row>
    <row r="117" spans="1:11" ht="51" x14ac:dyDescent="0.3">
      <c r="A117" s="6" t="s">
        <v>1459</v>
      </c>
      <c r="B117" s="4" t="s">
        <v>2927</v>
      </c>
      <c r="C117" s="4" t="s">
        <v>2928</v>
      </c>
      <c r="D117" s="4" t="s">
        <v>2929</v>
      </c>
      <c r="E117" s="4" t="s">
        <v>2930</v>
      </c>
      <c r="F117" s="4" t="s">
        <v>2931</v>
      </c>
      <c r="G117" s="4" t="s">
        <v>2932</v>
      </c>
      <c r="H117" s="4" t="s">
        <v>2933</v>
      </c>
      <c r="I117" s="4" t="s">
        <v>2934</v>
      </c>
      <c r="J117" s="6" t="s">
        <v>2060</v>
      </c>
      <c r="K117" s="6" t="s">
        <v>2042</v>
      </c>
    </row>
    <row r="118" spans="1:11" ht="102" x14ac:dyDescent="0.3">
      <c r="A118" s="6" t="s">
        <v>1459</v>
      </c>
      <c r="B118" s="4" t="s">
        <v>2935</v>
      </c>
      <c r="C118" s="4" t="s">
        <v>2936</v>
      </c>
      <c r="D118" s="4" t="s">
        <v>2937</v>
      </c>
      <c r="E118" s="4" t="s">
        <v>2938</v>
      </c>
      <c r="F118" s="4" t="s">
        <v>2939</v>
      </c>
      <c r="G118" s="4" t="s">
        <v>2940</v>
      </c>
      <c r="H118" s="4" t="s">
        <v>2941</v>
      </c>
      <c r="I118" s="4" t="s">
        <v>2942</v>
      </c>
      <c r="J118" s="6" t="s">
        <v>2041</v>
      </c>
      <c r="K118" s="6" t="s">
        <v>2042</v>
      </c>
    </row>
    <row r="119" spans="1:11" ht="76.5" x14ac:dyDescent="0.3">
      <c r="A119" s="6" t="s">
        <v>1459</v>
      </c>
      <c r="B119" s="4" t="s">
        <v>2943</v>
      </c>
      <c r="C119" s="4" t="s">
        <v>2944</v>
      </c>
      <c r="D119" s="4" t="s">
        <v>2945</v>
      </c>
      <c r="E119" s="4" t="s">
        <v>2946</v>
      </c>
      <c r="F119" s="4" t="s">
        <v>2947</v>
      </c>
      <c r="G119" s="4" t="s">
        <v>2948</v>
      </c>
      <c r="H119" s="4" t="s">
        <v>2949</v>
      </c>
      <c r="I119" s="4" t="s">
        <v>2950</v>
      </c>
      <c r="J119" s="6" t="s">
        <v>2215</v>
      </c>
      <c r="K119" s="6" t="s">
        <v>2051</v>
      </c>
    </row>
    <row r="120" spans="1:11" ht="114.75" x14ac:dyDescent="0.3">
      <c r="A120" s="6" t="s">
        <v>1459</v>
      </c>
      <c r="B120" s="4" t="s">
        <v>2951</v>
      </c>
      <c r="C120" s="4" t="s">
        <v>2952</v>
      </c>
      <c r="D120" s="4" t="s">
        <v>2953</v>
      </c>
      <c r="E120" s="4" t="s">
        <v>2954</v>
      </c>
      <c r="F120" s="4" t="s">
        <v>2955</v>
      </c>
      <c r="G120" s="4" t="s">
        <v>2956</v>
      </c>
      <c r="H120" s="4" t="s">
        <v>2957</v>
      </c>
      <c r="I120" s="4" t="s">
        <v>2958</v>
      </c>
      <c r="J120" s="6" t="s">
        <v>2060</v>
      </c>
      <c r="K120" s="6" t="s">
        <v>2085</v>
      </c>
    </row>
    <row r="121" spans="1:11" ht="76.5" x14ac:dyDescent="0.3">
      <c r="A121" s="6" t="s">
        <v>1459</v>
      </c>
      <c r="B121" s="4" t="s">
        <v>2959</v>
      </c>
      <c r="C121" s="4" t="s">
        <v>2960</v>
      </c>
      <c r="D121" s="4" t="s">
        <v>2961</v>
      </c>
      <c r="E121" s="4" t="s">
        <v>2962</v>
      </c>
      <c r="F121" s="4" t="s">
        <v>2963</v>
      </c>
      <c r="G121" s="4" t="s">
        <v>2964</v>
      </c>
      <c r="H121" s="4" t="s">
        <v>2965</v>
      </c>
      <c r="I121" s="4" t="s">
        <v>2966</v>
      </c>
      <c r="J121" s="6" t="s">
        <v>2041</v>
      </c>
      <c r="K121" s="6" t="s">
        <v>2085</v>
      </c>
    </row>
    <row r="122" spans="1:11" ht="51" x14ac:dyDescent="0.3">
      <c r="A122" s="6" t="s">
        <v>1459</v>
      </c>
      <c r="B122" s="4" t="s">
        <v>2967</v>
      </c>
      <c r="C122" s="4" t="s">
        <v>2968</v>
      </c>
      <c r="D122" s="4" t="s">
        <v>2969</v>
      </c>
      <c r="E122" s="4" t="s">
        <v>2970</v>
      </c>
      <c r="F122" s="4" t="s">
        <v>2971</v>
      </c>
      <c r="G122" s="4" t="s">
        <v>2972</v>
      </c>
      <c r="H122" s="4" t="s">
        <v>2973</v>
      </c>
      <c r="I122" s="4" t="s">
        <v>2974</v>
      </c>
      <c r="J122" s="6" t="s">
        <v>2060</v>
      </c>
      <c r="K122" s="6" t="s">
        <v>2085</v>
      </c>
    </row>
    <row r="123" spans="1:11" ht="63.75" x14ac:dyDescent="0.3">
      <c r="A123" s="6" t="s">
        <v>1459</v>
      </c>
      <c r="B123" s="4" t="s">
        <v>2975</v>
      </c>
      <c r="C123" s="4" t="s">
        <v>2976</v>
      </c>
      <c r="D123" s="4" t="s">
        <v>2977</v>
      </c>
      <c r="E123" s="4" t="s">
        <v>2978</v>
      </c>
      <c r="F123" s="4" t="s">
        <v>2979</v>
      </c>
      <c r="G123" s="4" t="s">
        <v>2980</v>
      </c>
      <c r="H123" s="4" t="s">
        <v>2981</v>
      </c>
      <c r="I123" s="4" t="s">
        <v>2982</v>
      </c>
      <c r="J123" s="6" t="s">
        <v>2041</v>
      </c>
      <c r="K123" s="6" t="s">
        <v>2085</v>
      </c>
    </row>
    <row r="124" spans="1:11" ht="76.5" x14ac:dyDescent="0.3">
      <c r="A124" s="6" t="s">
        <v>1459</v>
      </c>
      <c r="B124" s="4" t="s">
        <v>2983</v>
      </c>
      <c r="C124" s="4" t="s">
        <v>2984</v>
      </c>
      <c r="D124" s="4" t="s">
        <v>2985</v>
      </c>
      <c r="E124" s="4" t="s">
        <v>2986</v>
      </c>
      <c r="F124" s="4" t="s">
        <v>2987</v>
      </c>
      <c r="G124" s="4" t="s">
        <v>2988</v>
      </c>
      <c r="H124" s="4" t="s">
        <v>2989</v>
      </c>
      <c r="I124" s="4" t="s">
        <v>2990</v>
      </c>
      <c r="J124" s="6" t="s">
        <v>2102</v>
      </c>
      <c r="K124" s="6" t="s">
        <v>2042</v>
      </c>
    </row>
    <row r="125" spans="1:11" ht="51" x14ac:dyDescent="0.3">
      <c r="A125" s="6" t="s">
        <v>1459</v>
      </c>
      <c r="B125" s="4" t="s">
        <v>2991</v>
      </c>
      <c r="C125" s="4" t="s">
        <v>2992</v>
      </c>
      <c r="D125" s="4" t="s">
        <v>2993</v>
      </c>
      <c r="E125" s="4" t="s">
        <v>2994</v>
      </c>
      <c r="F125" s="4" t="s">
        <v>2995</v>
      </c>
      <c r="G125" s="4" t="s">
        <v>2996</v>
      </c>
      <c r="H125" s="4" t="s">
        <v>2997</v>
      </c>
      <c r="I125" s="4" t="s">
        <v>2998</v>
      </c>
      <c r="J125" s="6" t="s">
        <v>2060</v>
      </c>
      <c r="K125" s="6" t="s">
        <v>2042</v>
      </c>
    </row>
    <row r="126" spans="1:11" ht="51" x14ac:dyDescent="0.3">
      <c r="A126" s="6" t="s">
        <v>1490</v>
      </c>
      <c r="B126" s="4" t="s">
        <v>2520</v>
      </c>
      <c r="C126" s="4" t="s">
        <v>2521</v>
      </c>
      <c r="D126" s="4" t="s">
        <v>2522</v>
      </c>
      <c r="E126" s="4" t="s">
        <v>2523</v>
      </c>
      <c r="F126" s="4" t="s">
        <v>2524</v>
      </c>
      <c r="G126" s="4" t="s">
        <v>2525</v>
      </c>
      <c r="H126" s="4" t="s">
        <v>2526</v>
      </c>
      <c r="I126" s="4" t="s">
        <v>2527</v>
      </c>
      <c r="J126" s="6" t="s">
        <v>2060</v>
      </c>
      <c r="K126" s="6" t="s">
        <v>2051</v>
      </c>
    </row>
    <row r="127" spans="1:11" ht="63.75" x14ac:dyDescent="0.3">
      <c r="A127" s="6" t="s">
        <v>1490</v>
      </c>
      <c r="B127" s="4" t="s">
        <v>2528</v>
      </c>
      <c r="C127" s="4" t="s">
        <v>2529</v>
      </c>
      <c r="D127" s="4" t="s">
        <v>2530</v>
      </c>
      <c r="E127" s="4" t="s">
        <v>2531</v>
      </c>
      <c r="F127" s="4" t="s">
        <v>2532</v>
      </c>
      <c r="G127" s="4" t="s">
        <v>2533</v>
      </c>
      <c r="H127" s="4" t="s">
        <v>2534</v>
      </c>
      <c r="I127" s="4" t="s">
        <v>2535</v>
      </c>
      <c r="J127" s="6" t="s">
        <v>2060</v>
      </c>
      <c r="K127" s="6" t="s">
        <v>2051</v>
      </c>
    </row>
    <row r="128" spans="1:11" ht="51" x14ac:dyDescent="0.3">
      <c r="A128" s="6" t="s">
        <v>1490</v>
      </c>
      <c r="B128" s="4" t="s">
        <v>2536</v>
      </c>
      <c r="C128" s="4" t="s">
        <v>2537</v>
      </c>
      <c r="D128" s="4" t="s">
        <v>2538</v>
      </c>
      <c r="E128" s="4" t="s">
        <v>2539</v>
      </c>
      <c r="F128" s="4" t="s">
        <v>2540</v>
      </c>
      <c r="G128" s="4" t="s">
        <v>2541</v>
      </c>
      <c r="H128" s="4" t="s">
        <v>2542</v>
      </c>
      <c r="I128" s="4" t="s">
        <v>2543</v>
      </c>
      <c r="J128" s="6" t="s">
        <v>2041</v>
      </c>
      <c r="K128" s="6" t="s">
        <v>2042</v>
      </c>
    </row>
    <row r="129" spans="1:11" ht="63.75" x14ac:dyDescent="0.3">
      <c r="A129" s="6" t="s">
        <v>1490</v>
      </c>
      <c r="B129" s="4" t="s">
        <v>2544</v>
      </c>
      <c r="C129" s="4" t="s">
        <v>2545</v>
      </c>
      <c r="D129" s="4" t="s">
        <v>2546</v>
      </c>
      <c r="E129" s="4" t="s">
        <v>2547</v>
      </c>
      <c r="F129" s="4" t="s">
        <v>2548</v>
      </c>
      <c r="G129" s="4" t="s">
        <v>2549</v>
      </c>
      <c r="H129" s="4" t="s">
        <v>2550</v>
      </c>
      <c r="I129" s="4" t="s">
        <v>2551</v>
      </c>
      <c r="J129" s="6" t="s">
        <v>2215</v>
      </c>
      <c r="K129" s="6" t="s">
        <v>2042</v>
      </c>
    </row>
    <row r="130" spans="1:11" ht="63.75" x14ac:dyDescent="0.3">
      <c r="A130" s="6" t="s">
        <v>1490</v>
      </c>
      <c r="B130" s="4" t="s">
        <v>2552</v>
      </c>
      <c r="C130" s="4" t="s">
        <v>2553</v>
      </c>
      <c r="D130" s="4" t="s">
        <v>2554</v>
      </c>
      <c r="E130" s="4" t="s">
        <v>2555</v>
      </c>
      <c r="F130" s="4" t="s">
        <v>2556</v>
      </c>
      <c r="G130" s="4" t="s">
        <v>2557</v>
      </c>
      <c r="H130" s="4" t="s">
        <v>2558</v>
      </c>
      <c r="I130" s="4" t="s">
        <v>2559</v>
      </c>
      <c r="J130" s="6" t="s">
        <v>2041</v>
      </c>
      <c r="K130" s="6" t="s">
        <v>2042</v>
      </c>
    </row>
    <row r="131" spans="1:11" ht="63.75" x14ac:dyDescent="0.3">
      <c r="A131" s="6" t="s">
        <v>1490</v>
      </c>
      <c r="B131" s="4" t="s">
        <v>2560</v>
      </c>
      <c r="C131" s="4" t="s">
        <v>2561</v>
      </c>
      <c r="D131" s="4" t="s">
        <v>2562</v>
      </c>
      <c r="E131" s="4" t="s">
        <v>2563</v>
      </c>
      <c r="F131" s="4" t="s">
        <v>2564</v>
      </c>
      <c r="G131" s="4" t="s">
        <v>2565</v>
      </c>
      <c r="H131" s="4" t="s">
        <v>2566</v>
      </c>
      <c r="I131" s="4" t="s">
        <v>2567</v>
      </c>
      <c r="J131" s="6" t="s">
        <v>2102</v>
      </c>
      <c r="K131" s="6" t="s">
        <v>2051</v>
      </c>
    </row>
    <row r="132" spans="1:11" ht="51" x14ac:dyDescent="0.3">
      <c r="A132" s="6" t="s">
        <v>1490</v>
      </c>
      <c r="B132" s="4" t="s">
        <v>2568</v>
      </c>
      <c r="C132" s="4" t="s">
        <v>2569</v>
      </c>
      <c r="D132" s="4" t="s">
        <v>2570</v>
      </c>
      <c r="E132" s="4" t="s">
        <v>2571</v>
      </c>
      <c r="F132" s="4" t="s">
        <v>2572</v>
      </c>
      <c r="G132" s="4" t="s">
        <v>2573</v>
      </c>
      <c r="H132" s="4" t="s">
        <v>2574</v>
      </c>
      <c r="I132" s="4" t="s">
        <v>2575</v>
      </c>
      <c r="J132" s="6" t="s">
        <v>2060</v>
      </c>
      <c r="K132" s="6" t="s">
        <v>2042</v>
      </c>
    </row>
    <row r="133" spans="1:11" ht="51" x14ac:dyDescent="0.3">
      <c r="A133" s="6" t="s">
        <v>1490</v>
      </c>
      <c r="B133" s="4" t="s">
        <v>2576</v>
      </c>
      <c r="C133" s="4" t="s">
        <v>2577</v>
      </c>
      <c r="D133" s="4" t="s">
        <v>2578</v>
      </c>
      <c r="E133" s="4" t="s">
        <v>2579</v>
      </c>
      <c r="F133" s="4" t="s">
        <v>2580</v>
      </c>
      <c r="G133" s="4" t="s">
        <v>2581</v>
      </c>
      <c r="H133" s="4" t="s">
        <v>2582</v>
      </c>
      <c r="I133" s="4" t="s">
        <v>2583</v>
      </c>
      <c r="J133" s="6" t="s">
        <v>2041</v>
      </c>
      <c r="K133" s="6" t="s">
        <v>2051</v>
      </c>
    </row>
    <row r="134" spans="1:11" ht="63.75" x14ac:dyDescent="0.3">
      <c r="A134" s="6" t="s">
        <v>1490</v>
      </c>
      <c r="B134" s="4" t="s">
        <v>2584</v>
      </c>
      <c r="C134" s="4" t="s">
        <v>2585</v>
      </c>
      <c r="D134" s="4" t="s">
        <v>2586</v>
      </c>
      <c r="E134" s="4" t="s">
        <v>2587</v>
      </c>
      <c r="F134" s="4" t="s">
        <v>2588</v>
      </c>
      <c r="G134" s="4" t="s">
        <v>2589</v>
      </c>
      <c r="H134" s="4" t="s">
        <v>2590</v>
      </c>
      <c r="I134" s="4" t="s">
        <v>2591</v>
      </c>
      <c r="J134" s="6" t="s">
        <v>2060</v>
      </c>
      <c r="K134" s="6" t="s">
        <v>2042</v>
      </c>
    </row>
    <row r="135" spans="1:11" ht="89.25" x14ac:dyDescent="0.3">
      <c r="A135" s="6" t="s">
        <v>1431</v>
      </c>
      <c r="B135" s="4" t="s">
        <v>2999</v>
      </c>
      <c r="C135" s="4" t="s">
        <v>3000</v>
      </c>
      <c r="D135" s="4" t="s">
        <v>3001</v>
      </c>
      <c r="E135" s="4" t="s">
        <v>3002</v>
      </c>
      <c r="F135" s="4" t="s">
        <v>3003</v>
      </c>
      <c r="G135" s="4" t="s">
        <v>3004</v>
      </c>
      <c r="H135" s="4" t="s">
        <v>3005</v>
      </c>
      <c r="I135" s="4" t="s">
        <v>3006</v>
      </c>
      <c r="J135" s="6" t="s">
        <v>2215</v>
      </c>
      <c r="K135" s="6" t="s">
        <v>2042</v>
      </c>
    </row>
    <row r="136" spans="1:11" ht="38.25" x14ac:dyDescent="0.3">
      <c r="A136" s="6" t="s">
        <v>1431</v>
      </c>
      <c r="B136" s="4" t="s">
        <v>3007</v>
      </c>
      <c r="C136" s="4" t="s">
        <v>3008</v>
      </c>
      <c r="D136" s="4" t="s">
        <v>3009</v>
      </c>
      <c r="E136" s="4" t="s">
        <v>3010</v>
      </c>
      <c r="F136" s="4" t="s">
        <v>3011</v>
      </c>
      <c r="G136" s="4" t="s">
        <v>3012</v>
      </c>
      <c r="H136" s="4" t="s">
        <v>3013</v>
      </c>
      <c r="I136" s="4" t="s">
        <v>3014</v>
      </c>
      <c r="J136" s="6" t="s">
        <v>2215</v>
      </c>
      <c r="K136" s="6" t="s">
        <v>2042</v>
      </c>
    </row>
  </sheetData>
  <autoFilter ref="A5:K136" xr:uid="{00000000-0009-0000-0000-000009000000}"/>
  <mergeCells count="1">
    <mergeCell ref="A2:K2"/>
  </mergeCells>
  <phoneticPr fontId="8" type="noConversion"/>
  <pageMargins left="0.75" right="0.75" top="1" bottom="1" header="0.5" footer="0.5"/>
  <pageSetup fitToHeight="0"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E23"/>
  <sheetViews>
    <sheetView showGridLines="0" workbookViewId="0">
      <pane xSplit="2" ySplit="5" topLeftCell="C6" activePane="bottomRight" state="frozen"/>
      <selection pane="topRight"/>
      <selection pane="bottomLeft"/>
      <selection pane="bottomRight"/>
    </sheetView>
  </sheetViews>
  <sheetFormatPr defaultRowHeight="16.5" x14ac:dyDescent="0.3"/>
  <cols>
    <col min="1" max="1" width="12" customWidth="1"/>
    <col min="2" max="2" width="32" customWidth="1"/>
    <col min="3" max="3" width="80" customWidth="1"/>
    <col min="4" max="4" width="32" customWidth="1"/>
    <col min="5" max="5" width="14" customWidth="1"/>
  </cols>
  <sheetData>
    <row r="1" spans="1:5" ht="30" customHeight="1" x14ac:dyDescent="0.3">
      <c r="A1" s="1" t="s">
        <v>3015</v>
      </c>
    </row>
    <row r="2" spans="1:5" ht="33.950000000000003" customHeight="1" x14ac:dyDescent="0.3">
      <c r="A2" s="10" t="s">
        <v>3016</v>
      </c>
      <c r="B2" s="11"/>
      <c r="C2" s="11"/>
      <c r="D2" s="11"/>
      <c r="E2" s="11"/>
    </row>
    <row r="3" spans="1:5" x14ac:dyDescent="0.3">
      <c r="A3" s="2" t="s">
        <v>2</v>
      </c>
    </row>
    <row r="5" spans="1:5" ht="26.1" customHeight="1" x14ac:dyDescent="0.3">
      <c r="A5" s="3" t="s">
        <v>3017</v>
      </c>
      <c r="B5" s="3" t="s">
        <v>3018</v>
      </c>
      <c r="C5" s="3" t="s">
        <v>3019</v>
      </c>
      <c r="D5" s="3" t="s">
        <v>3020</v>
      </c>
      <c r="E5" s="3" t="s">
        <v>29</v>
      </c>
    </row>
    <row r="6" spans="1:5" ht="38.25" x14ac:dyDescent="0.3">
      <c r="A6" s="6" t="s">
        <v>3021</v>
      </c>
      <c r="B6" s="4" t="s">
        <v>3022</v>
      </c>
      <c r="C6" s="4" t="s">
        <v>3023</v>
      </c>
      <c r="D6" s="4" t="s">
        <v>3024</v>
      </c>
      <c r="E6" s="6" t="s">
        <v>3025</v>
      </c>
    </row>
    <row r="7" spans="1:5" ht="25.5" x14ac:dyDescent="0.3">
      <c r="A7" s="6" t="s">
        <v>3021</v>
      </c>
      <c r="B7" s="4" t="s">
        <v>3026</v>
      </c>
      <c r="C7" s="4" t="s">
        <v>3027</v>
      </c>
      <c r="D7" s="4" t="s">
        <v>3028</v>
      </c>
      <c r="E7" s="6" t="s">
        <v>3029</v>
      </c>
    </row>
    <row r="8" spans="1:5" x14ac:dyDescent="0.3">
      <c r="A8" s="6" t="s">
        <v>3021</v>
      </c>
      <c r="B8" s="4" t="s">
        <v>3030</v>
      </c>
      <c r="C8" s="4" t="s">
        <v>3031</v>
      </c>
      <c r="D8" s="4" t="s">
        <v>3032</v>
      </c>
      <c r="E8" s="6" t="s">
        <v>1687</v>
      </c>
    </row>
    <row r="9" spans="1:5" x14ac:dyDescent="0.3">
      <c r="A9" s="6" t="s">
        <v>3021</v>
      </c>
      <c r="B9" s="4" t="s">
        <v>3033</v>
      </c>
      <c r="C9" s="4" t="s">
        <v>3034</v>
      </c>
      <c r="D9" s="4" t="s">
        <v>1650</v>
      </c>
      <c r="E9" s="6" t="s">
        <v>1725</v>
      </c>
    </row>
    <row r="10" spans="1:5" x14ac:dyDescent="0.3">
      <c r="A10" s="6" t="s">
        <v>3021</v>
      </c>
      <c r="B10" s="4" t="s">
        <v>3035</v>
      </c>
      <c r="C10" s="4" t="s">
        <v>3036</v>
      </c>
      <c r="D10" s="4" t="s">
        <v>3037</v>
      </c>
      <c r="E10" s="6" t="s">
        <v>3038</v>
      </c>
    </row>
    <row r="11" spans="1:5" ht="25.5" x14ac:dyDescent="0.3">
      <c r="A11" s="6" t="s">
        <v>45</v>
      </c>
      <c r="B11" s="4" t="s">
        <v>3039</v>
      </c>
      <c r="C11" s="4" t="s">
        <v>3040</v>
      </c>
      <c r="D11" s="4" t="s">
        <v>3041</v>
      </c>
      <c r="E11" s="6" t="s">
        <v>3042</v>
      </c>
    </row>
    <row r="12" spans="1:5" ht="25.5" x14ac:dyDescent="0.3">
      <c r="A12" s="6" t="s">
        <v>45</v>
      </c>
      <c r="B12" s="4" t="s">
        <v>3043</v>
      </c>
      <c r="C12" s="4" t="s">
        <v>3044</v>
      </c>
      <c r="D12" s="4" t="s">
        <v>3045</v>
      </c>
      <c r="E12" s="6" t="s">
        <v>3046</v>
      </c>
    </row>
    <row r="13" spans="1:5" x14ac:dyDescent="0.3">
      <c r="A13" s="6" t="s">
        <v>45</v>
      </c>
      <c r="B13" s="4" t="s">
        <v>3047</v>
      </c>
      <c r="C13" s="4" t="s">
        <v>3048</v>
      </c>
      <c r="D13" s="4" t="s">
        <v>3049</v>
      </c>
      <c r="E13" s="6" t="s">
        <v>1547</v>
      </c>
    </row>
    <row r="14" spans="1:5" x14ac:dyDescent="0.3">
      <c r="A14" s="6" t="s">
        <v>372</v>
      </c>
      <c r="B14" s="4" t="s">
        <v>3050</v>
      </c>
      <c r="C14" s="4" t="s">
        <v>3051</v>
      </c>
      <c r="D14" s="4" t="s">
        <v>3052</v>
      </c>
      <c r="E14" s="6" t="s">
        <v>3053</v>
      </c>
    </row>
    <row r="15" spans="1:5" ht="25.5" x14ac:dyDescent="0.3">
      <c r="A15" s="6" t="s">
        <v>372</v>
      </c>
      <c r="B15" s="4" t="s">
        <v>3054</v>
      </c>
      <c r="C15" s="4" t="s">
        <v>3055</v>
      </c>
      <c r="D15" s="4" t="s">
        <v>3056</v>
      </c>
      <c r="E15" s="6" t="s">
        <v>3057</v>
      </c>
    </row>
    <row r="16" spans="1:5" x14ac:dyDescent="0.3">
      <c r="A16" s="6" t="s">
        <v>372</v>
      </c>
      <c r="B16" s="4" t="s">
        <v>3058</v>
      </c>
      <c r="C16" s="4" t="s">
        <v>3059</v>
      </c>
      <c r="D16" s="4" t="s">
        <v>3060</v>
      </c>
      <c r="E16" s="6" t="s">
        <v>3061</v>
      </c>
    </row>
    <row r="17" spans="1:5" x14ac:dyDescent="0.3">
      <c r="A17" s="6" t="s">
        <v>372</v>
      </c>
      <c r="B17" s="4" t="s">
        <v>3062</v>
      </c>
      <c r="C17" s="4" t="s">
        <v>3063</v>
      </c>
      <c r="D17" s="4" t="s">
        <v>3064</v>
      </c>
      <c r="E17" s="6" t="s">
        <v>1574</v>
      </c>
    </row>
    <row r="18" spans="1:5" x14ac:dyDescent="0.3">
      <c r="A18" s="6" t="s">
        <v>3065</v>
      </c>
      <c r="B18" s="4" t="s">
        <v>3066</v>
      </c>
      <c r="C18" s="4" t="s">
        <v>3067</v>
      </c>
      <c r="D18" s="4" t="s">
        <v>3068</v>
      </c>
      <c r="E18" s="6" t="s">
        <v>3069</v>
      </c>
    </row>
    <row r="19" spans="1:5" x14ac:dyDescent="0.3">
      <c r="A19" s="6" t="s">
        <v>3065</v>
      </c>
      <c r="B19" s="4" t="s">
        <v>3070</v>
      </c>
      <c r="C19" s="4" t="s">
        <v>3071</v>
      </c>
      <c r="D19" s="4" t="s">
        <v>3072</v>
      </c>
      <c r="E19" s="6" t="s">
        <v>3073</v>
      </c>
    </row>
    <row r="20" spans="1:5" x14ac:dyDescent="0.3">
      <c r="A20" s="6" t="s">
        <v>3065</v>
      </c>
      <c r="B20" s="4" t="s">
        <v>3074</v>
      </c>
      <c r="C20" s="4" t="s">
        <v>3075</v>
      </c>
      <c r="D20" s="4" t="s">
        <v>3076</v>
      </c>
      <c r="E20" s="6" t="s">
        <v>1606</v>
      </c>
    </row>
    <row r="21" spans="1:5" ht="25.5" x14ac:dyDescent="0.3">
      <c r="A21" s="6" t="s">
        <v>707</v>
      </c>
      <c r="B21" s="4" t="s">
        <v>3077</v>
      </c>
      <c r="C21" s="4" t="s">
        <v>3078</v>
      </c>
      <c r="D21" s="4" t="s">
        <v>3079</v>
      </c>
      <c r="E21" s="6" t="s">
        <v>3080</v>
      </c>
    </row>
    <row r="22" spans="1:5" x14ac:dyDescent="0.3">
      <c r="A22" s="6" t="s">
        <v>561</v>
      </c>
      <c r="B22" s="4" t="s">
        <v>3081</v>
      </c>
      <c r="C22" s="4" t="s">
        <v>3082</v>
      </c>
      <c r="D22" s="4" t="s">
        <v>3083</v>
      </c>
      <c r="E22" s="6" t="s">
        <v>3084</v>
      </c>
    </row>
    <row r="23" spans="1:5" x14ac:dyDescent="0.3">
      <c r="A23" s="6" t="s">
        <v>3085</v>
      </c>
      <c r="B23" s="4" t="s">
        <v>3086</v>
      </c>
      <c r="C23" s="4" t="s">
        <v>3087</v>
      </c>
      <c r="D23" s="4" t="s">
        <v>1651</v>
      </c>
      <c r="E23" s="6" t="s">
        <v>2000</v>
      </c>
    </row>
  </sheetData>
  <autoFilter ref="A5:E23" xr:uid="{00000000-0009-0000-0000-00000A000000}"/>
  <mergeCells count="1">
    <mergeCell ref="A2:E2"/>
  </mergeCells>
  <phoneticPr fontId="8" type="noConversion"/>
  <pageMargins left="0.75" right="0.75" top="1" bottom="1" header="0.5" footer="0.5"/>
  <pageSetup fitToHeight="0"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D11"/>
  <sheetViews>
    <sheetView showGridLines="0" workbookViewId="0">
      <pane xSplit="1" ySplit="5" topLeftCell="B6" activePane="bottomRight" state="frozen"/>
      <selection pane="topRight"/>
      <selection pane="bottomLeft"/>
      <selection pane="bottomRight"/>
    </sheetView>
  </sheetViews>
  <sheetFormatPr defaultRowHeight="16.5" x14ac:dyDescent="0.3"/>
  <cols>
    <col min="1" max="1" width="18" customWidth="1"/>
    <col min="2" max="2" width="90" customWidth="1"/>
    <col min="3" max="3" width="50" customWidth="1"/>
    <col min="4" max="4" width="16" customWidth="1"/>
  </cols>
  <sheetData>
    <row r="1" spans="1:4" ht="30" customHeight="1" x14ac:dyDescent="0.3">
      <c r="A1" s="1" t="s">
        <v>3088</v>
      </c>
    </row>
    <row r="2" spans="1:4" ht="33.950000000000003" customHeight="1" x14ac:dyDescent="0.3">
      <c r="A2" s="10" t="s">
        <v>3089</v>
      </c>
      <c r="B2" s="11"/>
      <c r="C2" s="11"/>
      <c r="D2" s="11"/>
    </row>
    <row r="3" spans="1:4" x14ac:dyDescent="0.3">
      <c r="A3" s="2" t="s">
        <v>2</v>
      </c>
    </row>
    <row r="5" spans="1:4" ht="26.1" customHeight="1" x14ac:dyDescent="0.3">
      <c r="A5" s="3" t="s">
        <v>3090</v>
      </c>
      <c r="B5" s="3" t="s">
        <v>3091</v>
      </c>
      <c r="C5" s="3" t="s">
        <v>3092</v>
      </c>
      <c r="D5" s="3" t="s">
        <v>3093</v>
      </c>
    </row>
    <row r="6" spans="1:4" ht="38.25" x14ac:dyDescent="0.3">
      <c r="A6" s="6" t="s">
        <v>3094</v>
      </c>
      <c r="B6" s="4" t="s">
        <v>3095</v>
      </c>
      <c r="C6" s="4" t="s">
        <v>3096</v>
      </c>
      <c r="D6" s="6" t="s">
        <v>3097</v>
      </c>
    </row>
    <row r="7" spans="1:4" ht="25.5" x14ac:dyDescent="0.3">
      <c r="A7" s="6" t="s">
        <v>3098</v>
      </c>
      <c r="B7" s="4" t="s">
        <v>3099</v>
      </c>
      <c r="C7" s="4" t="s">
        <v>3100</v>
      </c>
      <c r="D7" s="6" t="s">
        <v>3101</v>
      </c>
    </row>
    <row r="8" spans="1:4" ht="25.5" x14ac:dyDescent="0.3">
      <c r="A8" s="6" t="s">
        <v>3102</v>
      </c>
      <c r="B8" s="4" t="s">
        <v>3103</v>
      </c>
      <c r="C8" s="4" t="s">
        <v>3104</v>
      </c>
      <c r="D8" s="6" t="s">
        <v>3105</v>
      </c>
    </row>
    <row r="9" spans="1:4" ht="25.5" x14ac:dyDescent="0.3">
      <c r="A9" s="6" t="s">
        <v>3106</v>
      </c>
      <c r="B9" s="4" t="s">
        <v>3107</v>
      </c>
      <c r="C9" s="4" t="s">
        <v>3108</v>
      </c>
      <c r="D9" s="6" t="s">
        <v>3109</v>
      </c>
    </row>
    <row r="10" spans="1:4" x14ac:dyDescent="0.3">
      <c r="A10" s="6" t="s">
        <v>3110</v>
      </c>
      <c r="B10" s="4" t="s">
        <v>3111</v>
      </c>
      <c r="C10" s="4" t="s">
        <v>3112</v>
      </c>
      <c r="D10" s="6" t="s">
        <v>1712</v>
      </c>
    </row>
    <row r="11" spans="1:4" ht="25.5" x14ac:dyDescent="0.3">
      <c r="A11" s="6" t="s">
        <v>3113</v>
      </c>
      <c r="B11" s="4" t="s">
        <v>3114</v>
      </c>
      <c r="C11" s="4" t="s">
        <v>3115</v>
      </c>
      <c r="D11" s="6" t="s">
        <v>3116</v>
      </c>
    </row>
  </sheetData>
  <mergeCells count="1">
    <mergeCell ref="A2:D2"/>
  </mergeCells>
  <phoneticPr fontId="8" type="noConversion"/>
  <pageMargins left="0.75" right="0.75" top="1" bottom="1" header="0.5" footer="0.5"/>
  <pageSetup fitToHeight="0"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F320"/>
  <sheetViews>
    <sheetView showGridLines="0" workbookViewId="0">
      <pane xSplit="2" ySplit="5" topLeftCell="C6" activePane="bottomRight" state="frozen"/>
      <selection pane="topRight"/>
      <selection pane="bottomLeft"/>
      <selection pane="bottomRight"/>
    </sheetView>
  </sheetViews>
  <sheetFormatPr defaultRowHeight="16.5" x14ac:dyDescent="0.3"/>
  <cols>
    <col min="1" max="1" width="12" customWidth="1"/>
    <col min="2" max="2" width="10" customWidth="1"/>
    <col min="3" max="4" width="60" customWidth="1"/>
    <col min="5" max="6" width="40" customWidth="1"/>
  </cols>
  <sheetData>
    <row r="1" spans="1:6" ht="30" customHeight="1" x14ac:dyDescent="0.3">
      <c r="A1" s="1" t="s">
        <v>3117</v>
      </c>
    </row>
    <row r="2" spans="1:6" ht="33.950000000000003" customHeight="1" x14ac:dyDescent="0.3">
      <c r="A2" s="10" t="s">
        <v>3118</v>
      </c>
      <c r="B2" s="11"/>
      <c r="C2" s="11"/>
      <c r="D2" s="11"/>
      <c r="E2" s="11"/>
      <c r="F2" s="11"/>
    </row>
    <row r="3" spans="1:6" x14ac:dyDescent="0.3">
      <c r="A3" s="2" t="s">
        <v>2</v>
      </c>
    </row>
    <row r="5" spans="1:6" ht="26.1" customHeight="1" x14ac:dyDescent="0.3">
      <c r="A5" s="3" t="s">
        <v>39</v>
      </c>
      <c r="B5" s="3" t="s">
        <v>3119</v>
      </c>
      <c r="C5" s="3" t="s">
        <v>3120</v>
      </c>
      <c r="D5" s="3" t="s">
        <v>3121</v>
      </c>
      <c r="E5" s="3" t="s">
        <v>1617</v>
      </c>
      <c r="F5" s="3" t="s">
        <v>3122</v>
      </c>
    </row>
    <row r="6" spans="1:6" ht="38.25" x14ac:dyDescent="0.3">
      <c r="A6" s="6" t="s">
        <v>44</v>
      </c>
      <c r="B6" s="6" t="s">
        <v>3123</v>
      </c>
      <c r="C6" s="4" t="s">
        <v>3124</v>
      </c>
      <c r="D6" s="4" t="s">
        <v>3125</v>
      </c>
      <c r="E6" s="4" t="s">
        <v>3126</v>
      </c>
      <c r="F6" s="9" t="s">
        <v>3127</v>
      </c>
    </row>
    <row r="7" spans="1:6" ht="51" x14ac:dyDescent="0.3">
      <c r="A7" s="6" t="s">
        <v>48</v>
      </c>
      <c r="B7" s="6" t="s">
        <v>3123</v>
      </c>
      <c r="C7" s="4" t="s">
        <v>3128</v>
      </c>
      <c r="D7" s="4" t="s">
        <v>3129</v>
      </c>
      <c r="E7" s="4" t="s">
        <v>3130</v>
      </c>
      <c r="F7" s="9" t="s">
        <v>3131</v>
      </c>
    </row>
    <row r="8" spans="1:6" ht="38.25" x14ac:dyDescent="0.3">
      <c r="A8" s="6" t="s">
        <v>48</v>
      </c>
      <c r="B8" s="6" t="s">
        <v>3123</v>
      </c>
      <c r="C8" s="4" t="s">
        <v>3132</v>
      </c>
      <c r="D8" s="4" t="s">
        <v>3133</v>
      </c>
      <c r="E8" s="4" t="s">
        <v>3134</v>
      </c>
      <c r="F8" s="9" t="s">
        <v>3135</v>
      </c>
    </row>
    <row r="9" spans="1:6" ht="38.25" x14ac:dyDescent="0.3">
      <c r="A9" s="6" t="s">
        <v>1459</v>
      </c>
      <c r="B9" s="6" t="s">
        <v>3123</v>
      </c>
      <c r="C9" s="4" t="s">
        <v>3136</v>
      </c>
      <c r="D9" s="4" t="s">
        <v>3137</v>
      </c>
      <c r="E9" s="4" t="s">
        <v>3138</v>
      </c>
      <c r="F9" s="9" t="s">
        <v>3139</v>
      </c>
    </row>
    <row r="10" spans="1:6" ht="38.25" x14ac:dyDescent="0.3">
      <c r="A10" s="6" t="s">
        <v>1459</v>
      </c>
      <c r="B10" s="6" t="s">
        <v>3123</v>
      </c>
      <c r="C10" s="4" t="s">
        <v>3140</v>
      </c>
      <c r="D10" s="4" t="s">
        <v>3141</v>
      </c>
      <c r="E10" s="4" t="s">
        <v>3142</v>
      </c>
      <c r="F10" s="9" t="s">
        <v>3143</v>
      </c>
    </row>
    <row r="11" spans="1:6" ht="38.25" x14ac:dyDescent="0.3">
      <c r="A11" s="6" t="s">
        <v>45</v>
      </c>
      <c r="B11" s="6" t="s">
        <v>3144</v>
      </c>
      <c r="C11" s="4" t="s">
        <v>3145</v>
      </c>
      <c r="D11" s="4" t="s">
        <v>3146</v>
      </c>
      <c r="E11" s="4" t="s">
        <v>3147</v>
      </c>
      <c r="F11" s="9" t="s">
        <v>3148</v>
      </c>
    </row>
    <row r="12" spans="1:6" ht="25.5" x14ac:dyDescent="0.3">
      <c r="A12" s="6" t="s">
        <v>45</v>
      </c>
      <c r="B12" s="6" t="s">
        <v>3144</v>
      </c>
      <c r="C12" s="4" t="s">
        <v>3149</v>
      </c>
      <c r="D12" s="4" t="s">
        <v>3150</v>
      </c>
      <c r="E12" s="4" t="s">
        <v>3151</v>
      </c>
      <c r="F12" s="9" t="s">
        <v>3152</v>
      </c>
    </row>
    <row r="13" spans="1:6" ht="38.25" x14ac:dyDescent="0.3">
      <c r="A13" s="6" t="s">
        <v>46</v>
      </c>
      <c r="B13" s="6" t="s">
        <v>3144</v>
      </c>
      <c r="C13" s="4" t="s">
        <v>3153</v>
      </c>
      <c r="D13" s="4" t="s">
        <v>3154</v>
      </c>
      <c r="E13" s="4" t="s">
        <v>3155</v>
      </c>
      <c r="F13" s="9" t="s">
        <v>3156</v>
      </c>
    </row>
    <row r="14" spans="1:6" ht="25.5" x14ac:dyDescent="0.3">
      <c r="A14" s="6" t="s">
        <v>46</v>
      </c>
      <c r="B14" s="6" t="s">
        <v>3144</v>
      </c>
      <c r="C14" s="4" t="s">
        <v>3157</v>
      </c>
      <c r="D14" s="4" t="s">
        <v>3158</v>
      </c>
      <c r="E14" s="4" t="s">
        <v>3159</v>
      </c>
      <c r="F14" s="4"/>
    </row>
    <row r="15" spans="1:6" ht="38.25" x14ac:dyDescent="0.3">
      <c r="A15" s="6" t="s">
        <v>1396</v>
      </c>
      <c r="B15" s="6" t="s">
        <v>3144</v>
      </c>
      <c r="C15" s="4" t="s">
        <v>3160</v>
      </c>
      <c r="D15" s="4" t="s">
        <v>3161</v>
      </c>
      <c r="E15" s="4" t="s">
        <v>3162</v>
      </c>
      <c r="F15" s="9" t="s">
        <v>3163</v>
      </c>
    </row>
    <row r="16" spans="1:6" ht="36" x14ac:dyDescent="0.3">
      <c r="A16" s="6" t="s">
        <v>1431</v>
      </c>
      <c r="B16" s="6" t="s">
        <v>3144</v>
      </c>
      <c r="C16" s="4" t="s">
        <v>3164</v>
      </c>
      <c r="D16" s="4" t="s">
        <v>3165</v>
      </c>
      <c r="E16" s="4" t="s">
        <v>3166</v>
      </c>
      <c r="F16" s="9" t="s">
        <v>3167</v>
      </c>
    </row>
    <row r="17" spans="1:6" ht="25.5" x14ac:dyDescent="0.3">
      <c r="A17" s="6" t="s">
        <v>1459</v>
      </c>
      <c r="B17" s="6" t="s">
        <v>3144</v>
      </c>
      <c r="C17" s="4" t="s">
        <v>3168</v>
      </c>
      <c r="D17" s="4" t="s">
        <v>3169</v>
      </c>
      <c r="E17" s="4" t="s">
        <v>3170</v>
      </c>
      <c r="F17" s="9" t="s">
        <v>3171</v>
      </c>
    </row>
    <row r="18" spans="1:6" ht="38.25" x14ac:dyDescent="0.3">
      <c r="A18" s="6" t="s">
        <v>44</v>
      </c>
      <c r="B18" s="6" t="s">
        <v>3172</v>
      </c>
      <c r="C18" s="4" t="s">
        <v>3173</v>
      </c>
      <c r="D18" s="4" t="s">
        <v>3174</v>
      </c>
      <c r="E18" s="4" t="s">
        <v>3175</v>
      </c>
      <c r="F18" s="9" t="s">
        <v>3176</v>
      </c>
    </row>
    <row r="19" spans="1:6" ht="25.5" x14ac:dyDescent="0.3">
      <c r="A19" s="6" t="s">
        <v>44</v>
      </c>
      <c r="B19" s="6" t="s">
        <v>3172</v>
      </c>
      <c r="C19" s="4" t="s">
        <v>3177</v>
      </c>
      <c r="D19" s="4" t="s">
        <v>3178</v>
      </c>
      <c r="E19" s="4" t="s">
        <v>3179</v>
      </c>
      <c r="F19" s="9" t="s">
        <v>3180</v>
      </c>
    </row>
    <row r="20" spans="1:6" ht="63.75" x14ac:dyDescent="0.3">
      <c r="A20" s="6" t="s">
        <v>44</v>
      </c>
      <c r="B20" s="6" t="s">
        <v>3172</v>
      </c>
      <c r="C20" s="4" t="s">
        <v>3181</v>
      </c>
      <c r="D20" s="4" t="s">
        <v>3182</v>
      </c>
      <c r="E20" s="4" t="s">
        <v>3183</v>
      </c>
      <c r="F20" s="9" t="s">
        <v>3184</v>
      </c>
    </row>
    <row r="21" spans="1:6" ht="38.25" x14ac:dyDescent="0.3">
      <c r="A21" s="6" t="s">
        <v>44</v>
      </c>
      <c r="B21" s="6" t="s">
        <v>3172</v>
      </c>
      <c r="C21" s="4" t="s">
        <v>3185</v>
      </c>
      <c r="D21" s="4" t="s">
        <v>3186</v>
      </c>
      <c r="E21" s="4" t="s">
        <v>3187</v>
      </c>
      <c r="F21" s="9" t="s">
        <v>3188</v>
      </c>
    </row>
    <row r="22" spans="1:6" ht="38.25" x14ac:dyDescent="0.3">
      <c r="A22" s="6" t="s">
        <v>44</v>
      </c>
      <c r="B22" s="6" t="s">
        <v>3172</v>
      </c>
      <c r="C22" s="4" t="s">
        <v>3189</v>
      </c>
      <c r="D22" s="4" t="s">
        <v>3190</v>
      </c>
      <c r="E22" s="4" t="s">
        <v>3191</v>
      </c>
      <c r="F22" s="9" t="s">
        <v>3192</v>
      </c>
    </row>
    <row r="23" spans="1:6" ht="38.25" x14ac:dyDescent="0.3">
      <c r="A23" s="6" t="s">
        <v>44</v>
      </c>
      <c r="B23" s="6" t="s">
        <v>3172</v>
      </c>
      <c r="C23" s="4" t="s">
        <v>3193</v>
      </c>
      <c r="D23" s="4" t="s">
        <v>3194</v>
      </c>
      <c r="E23" s="4" t="s">
        <v>3195</v>
      </c>
      <c r="F23" s="9" t="s">
        <v>3139</v>
      </c>
    </row>
    <row r="24" spans="1:6" ht="38.25" x14ac:dyDescent="0.3">
      <c r="A24" s="6" t="s">
        <v>44</v>
      </c>
      <c r="B24" s="6" t="s">
        <v>3172</v>
      </c>
      <c r="C24" s="4" t="s">
        <v>3196</v>
      </c>
      <c r="D24" s="4" t="s">
        <v>3197</v>
      </c>
      <c r="E24" s="4" t="s">
        <v>3198</v>
      </c>
      <c r="F24" s="9" t="s">
        <v>3199</v>
      </c>
    </row>
    <row r="25" spans="1:6" ht="25.5" x14ac:dyDescent="0.3">
      <c r="A25" s="6" t="s">
        <v>44</v>
      </c>
      <c r="B25" s="6" t="s">
        <v>3172</v>
      </c>
      <c r="C25" s="4" t="s">
        <v>3200</v>
      </c>
      <c r="D25" s="4" t="s">
        <v>3201</v>
      </c>
      <c r="E25" s="4" t="s">
        <v>3202</v>
      </c>
      <c r="F25" s="9" t="s">
        <v>3192</v>
      </c>
    </row>
    <row r="26" spans="1:6" ht="51" x14ac:dyDescent="0.3">
      <c r="A26" s="6" t="s">
        <v>44</v>
      </c>
      <c r="B26" s="6" t="s">
        <v>3172</v>
      </c>
      <c r="C26" s="4" t="s">
        <v>3203</v>
      </c>
      <c r="D26" s="4" t="s">
        <v>3204</v>
      </c>
      <c r="E26" s="4" t="s">
        <v>3205</v>
      </c>
      <c r="F26" s="9" t="s">
        <v>3206</v>
      </c>
    </row>
    <row r="27" spans="1:6" ht="38.25" x14ac:dyDescent="0.3">
      <c r="A27" s="6" t="s">
        <v>44</v>
      </c>
      <c r="B27" s="6" t="s">
        <v>3172</v>
      </c>
      <c r="C27" s="4" t="s">
        <v>3207</v>
      </c>
      <c r="D27" s="4" t="s">
        <v>3208</v>
      </c>
      <c r="E27" s="4" t="s">
        <v>3209</v>
      </c>
      <c r="F27" s="9" t="s">
        <v>3210</v>
      </c>
    </row>
    <row r="28" spans="1:6" ht="38.25" x14ac:dyDescent="0.3">
      <c r="A28" s="6" t="s">
        <v>45</v>
      </c>
      <c r="B28" s="6" t="s">
        <v>3172</v>
      </c>
      <c r="C28" s="4" t="s">
        <v>3211</v>
      </c>
      <c r="D28" s="4" t="s">
        <v>3212</v>
      </c>
      <c r="E28" s="4" t="s">
        <v>3213</v>
      </c>
      <c r="F28" s="9" t="s">
        <v>3214</v>
      </c>
    </row>
    <row r="29" spans="1:6" ht="38.25" x14ac:dyDescent="0.3">
      <c r="A29" s="6" t="s">
        <v>45</v>
      </c>
      <c r="B29" s="6" t="s">
        <v>3172</v>
      </c>
      <c r="C29" s="4" t="s">
        <v>3215</v>
      </c>
      <c r="D29" s="4" t="s">
        <v>3216</v>
      </c>
      <c r="E29" s="4" t="s">
        <v>3217</v>
      </c>
      <c r="F29" s="9" t="s">
        <v>3218</v>
      </c>
    </row>
    <row r="30" spans="1:6" ht="51" x14ac:dyDescent="0.3">
      <c r="A30" s="6" t="s">
        <v>46</v>
      </c>
      <c r="B30" s="6" t="s">
        <v>3172</v>
      </c>
      <c r="C30" s="4" t="s">
        <v>3219</v>
      </c>
      <c r="D30" s="4" t="s">
        <v>3220</v>
      </c>
      <c r="E30" s="4" t="s">
        <v>3221</v>
      </c>
      <c r="F30" s="9" t="s">
        <v>3222</v>
      </c>
    </row>
    <row r="31" spans="1:6" ht="51" x14ac:dyDescent="0.3">
      <c r="A31" s="6" t="s">
        <v>46</v>
      </c>
      <c r="B31" s="6" t="s">
        <v>3172</v>
      </c>
      <c r="C31" s="4" t="s">
        <v>3223</v>
      </c>
      <c r="D31" s="4" t="s">
        <v>3224</v>
      </c>
      <c r="E31" s="4" t="s">
        <v>3225</v>
      </c>
      <c r="F31" s="9" t="s">
        <v>3226</v>
      </c>
    </row>
    <row r="32" spans="1:6" ht="51" x14ac:dyDescent="0.3">
      <c r="A32" s="6" t="s">
        <v>46</v>
      </c>
      <c r="B32" s="6" t="s">
        <v>3172</v>
      </c>
      <c r="C32" s="4" t="s">
        <v>3227</v>
      </c>
      <c r="D32" s="4" t="s">
        <v>3228</v>
      </c>
      <c r="E32" s="4" t="s">
        <v>3229</v>
      </c>
      <c r="F32" s="9" t="s">
        <v>3230</v>
      </c>
    </row>
    <row r="33" spans="1:6" ht="38.25" x14ac:dyDescent="0.3">
      <c r="A33" s="6" t="s">
        <v>46</v>
      </c>
      <c r="B33" s="6" t="s">
        <v>3172</v>
      </c>
      <c r="C33" s="4" t="s">
        <v>3231</v>
      </c>
      <c r="D33" s="4" t="s">
        <v>3232</v>
      </c>
      <c r="E33" s="4" t="s">
        <v>3233</v>
      </c>
      <c r="F33" s="9" t="s">
        <v>3234</v>
      </c>
    </row>
    <row r="34" spans="1:6" ht="51" x14ac:dyDescent="0.3">
      <c r="A34" s="6" t="s">
        <v>46</v>
      </c>
      <c r="B34" s="6" t="s">
        <v>3172</v>
      </c>
      <c r="C34" s="4" t="s">
        <v>3235</v>
      </c>
      <c r="D34" s="4" t="s">
        <v>3236</v>
      </c>
      <c r="E34" s="4" t="s">
        <v>3237</v>
      </c>
      <c r="F34" s="9" t="s">
        <v>3222</v>
      </c>
    </row>
    <row r="35" spans="1:6" ht="51" x14ac:dyDescent="0.3">
      <c r="A35" s="6" t="s">
        <v>46</v>
      </c>
      <c r="B35" s="6" t="s">
        <v>3172</v>
      </c>
      <c r="C35" s="4" t="s">
        <v>3238</v>
      </c>
      <c r="D35" s="4" t="s">
        <v>3239</v>
      </c>
      <c r="E35" s="4" t="s">
        <v>3240</v>
      </c>
      <c r="F35" s="9" t="s">
        <v>3241</v>
      </c>
    </row>
    <row r="36" spans="1:6" ht="63.75" x14ac:dyDescent="0.3">
      <c r="A36" s="6" t="s">
        <v>47</v>
      </c>
      <c r="B36" s="6" t="s">
        <v>3172</v>
      </c>
      <c r="C36" s="4" t="s">
        <v>3242</v>
      </c>
      <c r="D36" s="4" t="s">
        <v>3243</v>
      </c>
      <c r="E36" s="4" t="s">
        <v>3244</v>
      </c>
      <c r="F36" s="9" t="s">
        <v>3245</v>
      </c>
    </row>
    <row r="37" spans="1:6" ht="51" x14ac:dyDescent="0.3">
      <c r="A37" s="6" t="s">
        <v>47</v>
      </c>
      <c r="B37" s="6" t="s">
        <v>3172</v>
      </c>
      <c r="C37" s="4" t="s">
        <v>3246</v>
      </c>
      <c r="D37" s="4" t="s">
        <v>3247</v>
      </c>
      <c r="E37" s="4" t="s">
        <v>3248</v>
      </c>
      <c r="F37" s="9" t="s">
        <v>3222</v>
      </c>
    </row>
    <row r="38" spans="1:6" ht="51" x14ac:dyDescent="0.3">
      <c r="A38" s="6" t="s">
        <v>47</v>
      </c>
      <c r="B38" s="6" t="s">
        <v>3172</v>
      </c>
      <c r="C38" s="4" t="s">
        <v>3249</v>
      </c>
      <c r="D38" s="4" t="s">
        <v>3250</v>
      </c>
      <c r="E38" s="4" t="s">
        <v>3251</v>
      </c>
      <c r="F38" s="9" t="s">
        <v>3252</v>
      </c>
    </row>
    <row r="39" spans="1:6" ht="38.25" x14ac:dyDescent="0.3">
      <c r="A39" s="6" t="s">
        <v>47</v>
      </c>
      <c r="B39" s="6" t="s">
        <v>3172</v>
      </c>
      <c r="C39" s="4" t="s">
        <v>3253</v>
      </c>
      <c r="D39" s="4" t="s">
        <v>3254</v>
      </c>
      <c r="E39" s="4" t="s">
        <v>3255</v>
      </c>
      <c r="F39" s="9" t="s">
        <v>3256</v>
      </c>
    </row>
    <row r="40" spans="1:6" ht="38.25" x14ac:dyDescent="0.3">
      <c r="A40" s="6" t="s">
        <v>47</v>
      </c>
      <c r="B40" s="6" t="s">
        <v>3172</v>
      </c>
      <c r="C40" s="4" t="s">
        <v>3257</v>
      </c>
      <c r="D40" s="4" t="s">
        <v>3258</v>
      </c>
      <c r="E40" s="4" t="s">
        <v>3259</v>
      </c>
      <c r="F40" s="9" t="s">
        <v>3260</v>
      </c>
    </row>
    <row r="41" spans="1:6" ht="51" x14ac:dyDescent="0.3">
      <c r="A41" s="6" t="s">
        <v>47</v>
      </c>
      <c r="B41" s="6" t="s">
        <v>3172</v>
      </c>
      <c r="C41" s="4" t="s">
        <v>3261</v>
      </c>
      <c r="D41" s="4" t="s">
        <v>3262</v>
      </c>
      <c r="E41" s="4" t="s">
        <v>3263</v>
      </c>
      <c r="F41" s="9" t="s">
        <v>3264</v>
      </c>
    </row>
    <row r="42" spans="1:6" ht="38.25" x14ac:dyDescent="0.3">
      <c r="A42" s="6" t="s">
        <v>47</v>
      </c>
      <c r="B42" s="6" t="s">
        <v>3172</v>
      </c>
      <c r="C42" s="4" t="s">
        <v>3265</v>
      </c>
      <c r="D42" s="4" t="s">
        <v>3266</v>
      </c>
      <c r="E42" s="4" t="s">
        <v>3267</v>
      </c>
      <c r="F42" s="9" t="s">
        <v>3252</v>
      </c>
    </row>
    <row r="43" spans="1:6" ht="51" x14ac:dyDescent="0.3">
      <c r="A43" s="6" t="s">
        <v>47</v>
      </c>
      <c r="B43" s="6" t="s">
        <v>3172</v>
      </c>
      <c r="C43" s="4" t="s">
        <v>3268</v>
      </c>
      <c r="D43" s="4" t="s">
        <v>3269</v>
      </c>
      <c r="E43" s="4" t="s">
        <v>3270</v>
      </c>
      <c r="F43" s="9" t="s">
        <v>3222</v>
      </c>
    </row>
    <row r="44" spans="1:6" ht="51" x14ac:dyDescent="0.3">
      <c r="A44" s="6" t="s">
        <v>47</v>
      </c>
      <c r="B44" s="6" t="s">
        <v>3172</v>
      </c>
      <c r="C44" s="4" t="s">
        <v>3271</v>
      </c>
      <c r="D44" s="4" t="s">
        <v>3272</v>
      </c>
      <c r="E44" s="4" t="s">
        <v>3273</v>
      </c>
      <c r="F44" s="9" t="s">
        <v>3274</v>
      </c>
    </row>
    <row r="45" spans="1:6" ht="63.75" x14ac:dyDescent="0.3">
      <c r="A45" s="6" t="s">
        <v>48</v>
      </c>
      <c r="B45" s="6" t="s">
        <v>3172</v>
      </c>
      <c r="C45" s="4" t="s">
        <v>3275</v>
      </c>
      <c r="D45" s="4" t="s">
        <v>3276</v>
      </c>
      <c r="E45" s="4" t="s">
        <v>3277</v>
      </c>
      <c r="F45" s="9" t="s">
        <v>3278</v>
      </c>
    </row>
    <row r="46" spans="1:6" ht="38.25" x14ac:dyDescent="0.3">
      <c r="A46" s="6" t="s">
        <v>48</v>
      </c>
      <c r="B46" s="6" t="s">
        <v>3172</v>
      </c>
      <c r="C46" s="4" t="s">
        <v>3279</v>
      </c>
      <c r="D46" s="4" t="s">
        <v>3280</v>
      </c>
      <c r="E46" s="4" t="s">
        <v>3281</v>
      </c>
      <c r="F46" s="9" t="s">
        <v>3278</v>
      </c>
    </row>
    <row r="47" spans="1:6" ht="25.5" x14ac:dyDescent="0.3">
      <c r="A47" s="6" t="s">
        <v>48</v>
      </c>
      <c r="B47" s="6" t="s">
        <v>3172</v>
      </c>
      <c r="C47" s="4" t="s">
        <v>3282</v>
      </c>
      <c r="D47" s="4" t="s">
        <v>3283</v>
      </c>
      <c r="E47" s="4" t="s">
        <v>3284</v>
      </c>
      <c r="F47" s="9" t="s">
        <v>3285</v>
      </c>
    </row>
    <row r="48" spans="1:6" ht="38.25" x14ac:dyDescent="0.3">
      <c r="A48" s="6" t="s">
        <v>48</v>
      </c>
      <c r="B48" s="6" t="s">
        <v>3172</v>
      </c>
      <c r="C48" s="4" t="s">
        <v>3286</v>
      </c>
      <c r="D48" s="4" t="s">
        <v>3287</v>
      </c>
      <c r="E48" s="4" t="s">
        <v>3288</v>
      </c>
      <c r="F48" s="9" t="s">
        <v>3289</v>
      </c>
    </row>
    <row r="49" spans="1:6" ht="25.5" x14ac:dyDescent="0.3">
      <c r="A49" s="6" t="s">
        <v>48</v>
      </c>
      <c r="B49" s="6" t="s">
        <v>3172</v>
      </c>
      <c r="C49" s="4" t="s">
        <v>3290</v>
      </c>
      <c r="D49" s="4" t="s">
        <v>3291</v>
      </c>
      <c r="E49" s="4" t="s">
        <v>3292</v>
      </c>
      <c r="F49" s="9" t="s">
        <v>3293</v>
      </c>
    </row>
    <row r="50" spans="1:6" ht="38.25" x14ac:dyDescent="0.3">
      <c r="A50" s="6" t="s">
        <v>49</v>
      </c>
      <c r="B50" s="6" t="s">
        <v>3172</v>
      </c>
      <c r="C50" s="4" t="s">
        <v>3294</v>
      </c>
      <c r="D50" s="4" t="s">
        <v>3295</v>
      </c>
      <c r="E50" s="4" t="s">
        <v>3296</v>
      </c>
      <c r="F50" s="9" t="s">
        <v>3297</v>
      </c>
    </row>
    <row r="51" spans="1:6" ht="38.25" x14ac:dyDescent="0.3">
      <c r="A51" s="6" t="s">
        <v>49</v>
      </c>
      <c r="B51" s="6" t="s">
        <v>3172</v>
      </c>
      <c r="C51" s="4" t="s">
        <v>3298</v>
      </c>
      <c r="D51" s="4" t="s">
        <v>3299</v>
      </c>
      <c r="E51" s="4" t="s">
        <v>3300</v>
      </c>
      <c r="F51" s="9" t="s">
        <v>3301</v>
      </c>
    </row>
    <row r="52" spans="1:6" ht="38.25" x14ac:dyDescent="0.3">
      <c r="A52" s="6" t="s">
        <v>49</v>
      </c>
      <c r="B52" s="6" t="s">
        <v>3172</v>
      </c>
      <c r="C52" s="4" t="s">
        <v>3302</v>
      </c>
      <c r="D52" s="4" t="s">
        <v>3303</v>
      </c>
      <c r="E52" s="4" t="s">
        <v>3304</v>
      </c>
      <c r="F52" s="9" t="s">
        <v>3305</v>
      </c>
    </row>
    <row r="53" spans="1:6" ht="51" x14ac:dyDescent="0.3">
      <c r="A53" s="6" t="s">
        <v>49</v>
      </c>
      <c r="B53" s="6" t="s">
        <v>3172</v>
      </c>
      <c r="C53" s="4" t="s">
        <v>3306</v>
      </c>
      <c r="D53" s="4" t="s">
        <v>3307</v>
      </c>
      <c r="E53" s="4" t="s">
        <v>3308</v>
      </c>
      <c r="F53" s="9" t="s">
        <v>3309</v>
      </c>
    </row>
    <row r="54" spans="1:6" ht="38.25" x14ac:dyDescent="0.3">
      <c r="A54" s="6" t="s">
        <v>49</v>
      </c>
      <c r="B54" s="6" t="s">
        <v>3172</v>
      </c>
      <c r="C54" s="4" t="s">
        <v>3310</v>
      </c>
      <c r="D54" s="4" t="s">
        <v>3311</v>
      </c>
      <c r="E54" s="4" t="s">
        <v>3312</v>
      </c>
      <c r="F54" s="9" t="s">
        <v>3313</v>
      </c>
    </row>
    <row r="55" spans="1:6" ht="38.25" x14ac:dyDescent="0.3">
      <c r="A55" s="6" t="s">
        <v>49</v>
      </c>
      <c r="B55" s="6" t="s">
        <v>3172</v>
      </c>
      <c r="C55" s="4" t="s">
        <v>3314</v>
      </c>
      <c r="D55" s="4" t="s">
        <v>3315</v>
      </c>
      <c r="E55" s="4" t="s">
        <v>3316</v>
      </c>
      <c r="F55" s="9" t="s">
        <v>3313</v>
      </c>
    </row>
    <row r="56" spans="1:6" ht="51" x14ac:dyDescent="0.3">
      <c r="A56" s="6" t="s">
        <v>49</v>
      </c>
      <c r="B56" s="6" t="s">
        <v>3172</v>
      </c>
      <c r="C56" s="4" t="s">
        <v>3317</v>
      </c>
      <c r="D56" s="4" t="s">
        <v>3318</v>
      </c>
      <c r="E56" s="4" t="s">
        <v>3319</v>
      </c>
      <c r="F56" s="9" t="s">
        <v>3309</v>
      </c>
    </row>
    <row r="57" spans="1:6" ht="38.25" x14ac:dyDescent="0.3">
      <c r="A57" s="6" t="s">
        <v>49</v>
      </c>
      <c r="B57" s="6" t="s">
        <v>3172</v>
      </c>
      <c r="C57" s="4" t="s">
        <v>3320</v>
      </c>
      <c r="D57" s="4" t="s">
        <v>3321</v>
      </c>
      <c r="E57" s="4" t="s">
        <v>3322</v>
      </c>
      <c r="F57" s="9" t="s">
        <v>3305</v>
      </c>
    </row>
    <row r="58" spans="1:6" ht="51" x14ac:dyDescent="0.3">
      <c r="A58" s="6" t="s">
        <v>49</v>
      </c>
      <c r="B58" s="6" t="s">
        <v>3172</v>
      </c>
      <c r="C58" s="4" t="s">
        <v>3323</v>
      </c>
      <c r="D58" s="4" t="s">
        <v>3324</v>
      </c>
      <c r="E58" s="4" t="s">
        <v>3325</v>
      </c>
      <c r="F58" s="9" t="s">
        <v>3326</v>
      </c>
    </row>
    <row r="59" spans="1:6" ht="51" x14ac:dyDescent="0.3">
      <c r="A59" s="6" t="s">
        <v>49</v>
      </c>
      <c r="B59" s="6" t="s">
        <v>3172</v>
      </c>
      <c r="C59" s="4" t="s">
        <v>3327</v>
      </c>
      <c r="D59" s="4" t="s">
        <v>3328</v>
      </c>
      <c r="E59" s="4" t="s">
        <v>3329</v>
      </c>
      <c r="F59" s="9" t="s">
        <v>3330</v>
      </c>
    </row>
    <row r="60" spans="1:6" ht="51" x14ac:dyDescent="0.3">
      <c r="A60" s="6" t="s">
        <v>1396</v>
      </c>
      <c r="B60" s="6" t="s">
        <v>3172</v>
      </c>
      <c r="C60" s="4" t="s">
        <v>3331</v>
      </c>
      <c r="D60" s="4" t="s">
        <v>3332</v>
      </c>
      <c r="E60" s="4" t="s">
        <v>3333</v>
      </c>
      <c r="F60" s="9" t="s">
        <v>3334</v>
      </c>
    </row>
    <row r="61" spans="1:6" ht="25.5" x14ac:dyDescent="0.3">
      <c r="A61" s="6" t="s">
        <v>1396</v>
      </c>
      <c r="B61" s="6" t="s">
        <v>3172</v>
      </c>
      <c r="C61" s="4" t="s">
        <v>3335</v>
      </c>
      <c r="D61" s="4" t="s">
        <v>3336</v>
      </c>
      <c r="E61" s="4" t="s">
        <v>3337</v>
      </c>
      <c r="F61" s="9" t="s">
        <v>3338</v>
      </c>
    </row>
    <row r="62" spans="1:6" ht="51" x14ac:dyDescent="0.3">
      <c r="A62" s="6" t="s">
        <v>1396</v>
      </c>
      <c r="B62" s="6" t="s">
        <v>3172</v>
      </c>
      <c r="C62" s="4" t="s">
        <v>3339</v>
      </c>
      <c r="D62" s="4" t="s">
        <v>3340</v>
      </c>
      <c r="E62" s="4" t="s">
        <v>3341</v>
      </c>
      <c r="F62" s="9" t="s">
        <v>3342</v>
      </c>
    </row>
    <row r="63" spans="1:6" ht="38.25" x14ac:dyDescent="0.3">
      <c r="A63" s="6" t="s">
        <v>1396</v>
      </c>
      <c r="B63" s="6" t="s">
        <v>3172</v>
      </c>
      <c r="C63" s="4" t="s">
        <v>3343</v>
      </c>
      <c r="D63" s="4" t="s">
        <v>3344</v>
      </c>
      <c r="E63" s="4" t="s">
        <v>3345</v>
      </c>
      <c r="F63" s="9" t="s">
        <v>3334</v>
      </c>
    </row>
    <row r="64" spans="1:6" ht="38.25" x14ac:dyDescent="0.3">
      <c r="A64" s="6" t="s">
        <v>1396</v>
      </c>
      <c r="B64" s="6" t="s">
        <v>3172</v>
      </c>
      <c r="C64" s="4" t="s">
        <v>3346</v>
      </c>
      <c r="D64" s="4" t="s">
        <v>3347</v>
      </c>
      <c r="E64" s="4" t="s">
        <v>3348</v>
      </c>
      <c r="F64" s="9" t="s">
        <v>3139</v>
      </c>
    </row>
    <row r="65" spans="1:6" ht="38.25" x14ac:dyDescent="0.3">
      <c r="A65" s="6" t="s">
        <v>1431</v>
      </c>
      <c r="B65" s="6" t="s">
        <v>3172</v>
      </c>
      <c r="C65" s="4" t="s">
        <v>3349</v>
      </c>
      <c r="D65" s="4" t="s">
        <v>3350</v>
      </c>
      <c r="E65" s="4" t="s">
        <v>3351</v>
      </c>
      <c r="F65" s="9" t="s">
        <v>3352</v>
      </c>
    </row>
    <row r="66" spans="1:6" ht="51" x14ac:dyDescent="0.3">
      <c r="A66" s="6" t="s">
        <v>1431</v>
      </c>
      <c r="B66" s="6" t="s">
        <v>3172</v>
      </c>
      <c r="C66" s="4" t="s">
        <v>3353</v>
      </c>
      <c r="D66" s="4" t="s">
        <v>3354</v>
      </c>
      <c r="E66" s="4" t="s">
        <v>3355</v>
      </c>
      <c r="F66" s="9" t="s">
        <v>3356</v>
      </c>
    </row>
    <row r="67" spans="1:6" ht="38.25" x14ac:dyDescent="0.3">
      <c r="A67" s="6" t="s">
        <v>1431</v>
      </c>
      <c r="B67" s="6" t="s">
        <v>3172</v>
      </c>
      <c r="C67" s="4" t="s">
        <v>3357</v>
      </c>
      <c r="D67" s="4" t="s">
        <v>3358</v>
      </c>
      <c r="E67" s="4" t="s">
        <v>3359</v>
      </c>
      <c r="F67" s="9" t="s">
        <v>3360</v>
      </c>
    </row>
    <row r="68" spans="1:6" ht="24" x14ac:dyDescent="0.3">
      <c r="A68" s="6" t="s">
        <v>1431</v>
      </c>
      <c r="B68" s="6" t="s">
        <v>3172</v>
      </c>
      <c r="C68" s="4" t="s">
        <v>3361</v>
      </c>
      <c r="D68" s="4" t="s">
        <v>3362</v>
      </c>
      <c r="E68" s="4" t="s">
        <v>3363</v>
      </c>
      <c r="F68" s="9" t="s">
        <v>3360</v>
      </c>
    </row>
    <row r="69" spans="1:6" ht="38.25" x14ac:dyDescent="0.3">
      <c r="A69" s="6" t="s">
        <v>1431</v>
      </c>
      <c r="B69" s="6" t="s">
        <v>3172</v>
      </c>
      <c r="C69" s="4" t="s">
        <v>3364</v>
      </c>
      <c r="D69" s="4" t="s">
        <v>3365</v>
      </c>
      <c r="E69" s="4" t="s">
        <v>3366</v>
      </c>
      <c r="F69" s="9" t="s">
        <v>3352</v>
      </c>
    </row>
    <row r="70" spans="1:6" ht="38.25" x14ac:dyDescent="0.3">
      <c r="A70" s="6" t="s">
        <v>1431</v>
      </c>
      <c r="B70" s="6" t="s">
        <v>3172</v>
      </c>
      <c r="C70" s="4" t="s">
        <v>3367</v>
      </c>
      <c r="D70" s="4" t="s">
        <v>3368</v>
      </c>
      <c r="E70" s="4" t="s">
        <v>3369</v>
      </c>
      <c r="F70" s="9" t="s">
        <v>3370</v>
      </c>
    </row>
    <row r="71" spans="1:6" ht="38.25" x14ac:dyDescent="0.3">
      <c r="A71" s="6" t="s">
        <v>1431</v>
      </c>
      <c r="B71" s="6" t="s">
        <v>3172</v>
      </c>
      <c r="C71" s="4" t="s">
        <v>3371</v>
      </c>
      <c r="D71" s="4" t="s">
        <v>3372</v>
      </c>
      <c r="E71" s="4" t="s">
        <v>3373</v>
      </c>
      <c r="F71" s="9" t="s">
        <v>3374</v>
      </c>
    </row>
    <row r="72" spans="1:6" ht="25.5" x14ac:dyDescent="0.3">
      <c r="A72" s="6" t="s">
        <v>1431</v>
      </c>
      <c r="B72" s="6" t="s">
        <v>3172</v>
      </c>
      <c r="C72" s="4" t="s">
        <v>3375</v>
      </c>
      <c r="D72" s="4" t="s">
        <v>3376</v>
      </c>
      <c r="E72" s="4" t="s">
        <v>3377</v>
      </c>
      <c r="F72" s="9" t="s">
        <v>3356</v>
      </c>
    </row>
    <row r="73" spans="1:6" ht="38.25" x14ac:dyDescent="0.3">
      <c r="A73" s="6" t="s">
        <v>1431</v>
      </c>
      <c r="B73" s="6" t="s">
        <v>3172</v>
      </c>
      <c r="C73" s="4" t="s">
        <v>3378</v>
      </c>
      <c r="D73" s="4" t="s">
        <v>3379</v>
      </c>
      <c r="E73" s="4" t="s">
        <v>3380</v>
      </c>
      <c r="F73" s="9" t="s">
        <v>3381</v>
      </c>
    </row>
    <row r="74" spans="1:6" ht="51" x14ac:dyDescent="0.3">
      <c r="A74" s="6" t="s">
        <v>1459</v>
      </c>
      <c r="B74" s="6" t="s">
        <v>3172</v>
      </c>
      <c r="C74" s="4" t="s">
        <v>3382</v>
      </c>
      <c r="D74" s="4" t="s">
        <v>3383</v>
      </c>
      <c r="E74" s="4" t="s">
        <v>3384</v>
      </c>
      <c r="F74" s="9" t="s">
        <v>3385</v>
      </c>
    </row>
    <row r="75" spans="1:6" ht="51" x14ac:dyDescent="0.3">
      <c r="A75" s="6" t="s">
        <v>1459</v>
      </c>
      <c r="B75" s="6" t="s">
        <v>3172</v>
      </c>
      <c r="C75" s="4" t="s">
        <v>3386</v>
      </c>
      <c r="D75" s="4" t="s">
        <v>3387</v>
      </c>
      <c r="E75" s="4" t="s">
        <v>3388</v>
      </c>
      <c r="F75" s="9" t="s">
        <v>3389</v>
      </c>
    </row>
    <row r="76" spans="1:6" ht="25.5" x14ac:dyDescent="0.3">
      <c r="A76" s="6" t="s">
        <v>1459</v>
      </c>
      <c r="B76" s="6" t="s">
        <v>3172</v>
      </c>
      <c r="C76" s="4" t="s">
        <v>3390</v>
      </c>
      <c r="D76" s="4" t="s">
        <v>3391</v>
      </c>
      <c r="E76" s="4" t="s">
        <v>3392</v>
      </c>
      <c r="F76" s="9" t="s">
        <v>3393</v>
      </c>
    </row>
    <row r="77" spans="1:6" ht="51" x14ac:dyDescent="0.3">
      <c r="A77" s="6" t="s">
        <v>1459</v>
      </c>
      <c r="B77" s="6" t="s">
        <v>3172</v>
      </c>
      <c r="C77" s="4" t="s">
        <v>3394</v>
      </c>
      <c r="D77" s="4" t="s">
        <v>3395</v>
      </c>
      <c r="E77" s="4" t="s">
        <v>3396</v>
      </c>
      <c r="F77" s="9" t="s">
        <v>3397</v>
      </c>
    </row>
    <row r="78" spans="1:6" ht="38.25" x14ac:dyDescent="0.3">
      <c r="A78" s="6" t="s">
        <v>1459</v>
      </c>
      <c r="B78" s="6" t="s">
        <v>3172</v>
      </c>
      <c r="C78" s="4" t="s">
        <v>3398</v>
      </c>
      <c r="D78" s="4" t="s">
        <v>3399</v>
      </c>
      <c r="E78" s="4" t="s">
        <v>3400</v>
      </c>
      <c r="F78" s="9" t="s">
        <v>3401</v>
      </c>
    </row>
    <row r="79" spans="1:6" ht="38.25" x14ac:dyDescent="0.3">
      <c r="A79" s="6" t="s">
        <v>1459</v>
      </c>
      <c r="B79" s="6" t="s">
        <v>3172</v>
      </c>
      <c r="C79" s="4" t="s">
        <v>3402</v>
      </c>
      <c r="D79" s="4" t="s">
        <v>3403</v>
      </c>
      <c r="E79" s="4" t="s">
        <v>3404</v>
      </c>
      <c r="F79" s="9" t="s">
        <v>3139</v>
      </c>
    </row>
    <row r="80" spans="1:6" ht="38.25" x14ac:dyDescent="0.3">
      <c r="A80" s="6" t="s">
        <v>1459</v>
      </c>
      <c r="B80" s="6" t="s">
        <v>3172</v>
      </c>
      <c r="C80" s="4" t="s">
        <v>3405</v>
      </c>
      <c r="D80" s="4" t="s">
        <v>3406</v>
      </c>
      <c r="E80" s="4" t="s">
        <v>3407</v>
      </c>
      <c r="F80" s="9" t="s">
        <v>3408</v>
      </c>
    </row>
    <row r="81" spans="1:6" ht="48" x14ac:dyDescent="0.3">
      <c r="A81" s="6" t="s">
        <v>1459</v>
      </c>
      <c r="B81" s="6" t="s">
        <v>3172</v>
      </c>
      <c r="C81" s="4" t="s">
        <v>3409</v>
      </c>
      <c r="D81" s="4" t="s">
        <v>3410</v>
      </c>
      <c r="E81" s="4" t="s">
        <v>3411</v>
      </c>
      <c r="F81" s="9" t="s">
        <v>3412</v>
      </c>
    </row>
    <row r="82" spans="1:6" ht="51" x14ac:dyDescent="0.3">
      <c r="A82" s="6" t="s">
        <v>1459</v>
      </c>
      <c r="B82" s="6" t="s">
        <v>3172</v>
      </c>
      <c r="C82" s="4" t="s">
        <v>3413</v>
      </c>
      <c r="D82" s="4" t="s">
        <v>3414</v>
      </c>
      <c r="E82" s="4" t="s">
        <v>3415</v>
      </c>
      <c r="F82" s="9" t="s">
        <v>3385</v>
      </c>
    </row>
    <row r="83" spans="1:6" ht="51" x14ac:dyDescent="0.3">
      <c r="A83" s="6" t="s">
        <v>1459</v>
      </c>
      <c r="B83" s="6" t="s">
        <v>3172</v>
      </c>
      <c r="C83" s="4" t="s">
        <v>3416</v>
      </c>
      <c r="D83" s="4" t="s">
        <v>3417</v>
      </c>
      <c r="E83" s="4" t="s">
        <v>3418</v>
      </c>
      <c r="F83" s="9" t="s">
        <v>3419</v>
      </c>
    </row>
    <row r="84" spans="1:6" ht="38.25" x14ac:dyDescent="0.3">
      <c r="A84" s="6" t="s">
        <v>1459</v>
      </c>
      <c r="B84" s="6" t="s">
        <v>3172</v>
      </c>
      <c r="C84" s="4" t="s">
        <v>3420</v>
      </c>
      <c r="D84" s="4" t="s">
        <v>3421</v>
      </c>
      <c r="E84" s="4" t="s">
        <v>3422</v>
      </c>
      <c r="F84" s="9" t="s">
        <v>3389</v>
      </c>
    </row>
    <row r="85" spans="1:6" ht="25.5" x14ac:dyDescent="0.3">
      <c r="A85" s="6" t="s">
        <v>1459</v>
      </c>
      <c r="B85" s="6" t="s">
        <v>3172</v>
      </c>
      <c r="C85" s="4" t="s">
        <v>3423</v>
      </c>
      <c r="D85" s="4" t="s">
        <v>3424</v>
      </c>
      <c r="E85" s="4" t="s">
        <v>3425</v>
      </c>
      <c r="F85" s="9" t="s">
        <v>3426</v>
      </c>
    </row>
    <row r="86" spans="1:6" ht="38.25" x14ac:dyDescent="0.3">
      <c r="A86" s="6" t="s">
        <v>1459</v>
      </c>
      <c r="B86" s="6" t="s">
        <v>3172</v>
      </c>
      <c r="C86" s="4" t="s">
        <v>3427</v>
      </c>
      <c r="D86" s="4" t="s">
        <v>3428</v>
      </c>
      <c r="E86" s="4" t="s">
        <v>3429</v>
      </c>
      <c r="F86" s="9" t="s">
        <v>3430</v>
      </c>
    </row>
    <row r="87" spans="1:6" ht="51" x14ac:dyDescent="0.3">
      <c r="A87" s="6" t="s">
        <v>1459</v>
      </c>
      <c r="B87" s="6" t="s">
        <v>3172</v>
      </c>
      <c r="C87" s="4" t="s">
        <v>3431</v>
      </c>
      <c r="D87" s="4" t="s">
        <v>3432</v>
      </c>
      <c r="E87" s="4" t="s">
        <v>3433</v>
      </c>
      <c r="F87" s="9" t="s">
        <v>3434</v>
      </c>
    </row>
    <row r="88" spans="1:6" ht="25.5" x14ac:dyDescent="0.3">
      <c r="A88" s="6" t="s">
        <v>1459</v>
      </c>
      <c r="B88" s="6" t="s">
        <v>3172</v>
      </c>
      <c r="C88" s="4" t="s">
        <v>3435</v>
      </c>
      <c r="D88" s="4" t="s">
        <v>3436</v>
      </c>
      <c r="E88" s="4" t="s">
        <v>3437</v>
      </c>
      <c r="F88" s="9" t="s">
        <v>3385</v>
      </c>
    </row>
    <row r="89" spans="1:6" ht="25.5" x14ac:dyDescent="0.3">
      <c r="A89" s="6" t="s">
        <v>1459</v>
      </c>
      <c r="B89" s="6" t="s">
        <v>3172</v>
      </c>
      <c r="C89" s="4" t="s">
        <v>3438</v>
      </c>
      <c r="D89" s="4" t="s">
        <v>3439</v>
      </c>
      <c r="E89" s="4" t="s">
        <v>3440</v>
      </c>
      <c r="F89" s="9" t="s">
        <v>3441</v>
      </c>
    </row>
    <row r="90" spans="1:6" ht="38.25" x14ac:dyDescent="0.3">
      <c r="A90" s="6" t="s">
        <v>44</v>
      </c>
      <c r="B90" s="6" t="s">
        <v>3442</v>
      </c>
      <c r="C90" s="4" t="s">
        <v>3443</v>
      </c>
      <c r="D90" s="4" t="s">
        <v>3444</v>
      </c>
      <c r="E90" s="4" t="s">
        <v>3445</v>
      </c>
      <c r="F90" s="9" t="s">
        <v>3206</v>
      </c>
    </row>
    <row r="91" spans="1:6" ht="38.25" x14ac:dyDescent="0.3">
      <c r="A91" s="6" t="s">
        <v>44</v>
      </c>
      <c r="B91" s="6" t="s">
        <v>3442</v>
      </c>
      <c r="C91" s="4" t="s">
        <v>3446</v>
      </c>
      <c r="D91" s="4" t="s">
        <v>3447</v>
      </c>
      <c r="E91" s="4" t="s">
        <v>3448</v>
      </c>
      <c r="F91" s="9" t="s">
        <v>3210</v>
      </c>
    </row>
    <row r="92" spans="1:6" ht="51" x14ac:dyDescent="0.3">
      <c r="A92" s="6" t="s">
        <v>44</v>
      </c>
      <c r="B92" s="6" t="s">
        <v>3442</v>
      </c>
      <c r="C92" s="4" t="s">
        <v>3449</v>
      </c>
      <c r="D92" s="4" t="s">
        <v>3450</v>
      </c>
      <c r="E92" s="4" t="s">
        <v>3451</v>
      </c>
      <c r="F92" s="9" t="s">
        <v>3452</v>
      </c>
    </row>
    <row r="93" spans="1:6" ht="38.25" x14ac:dyDescent="0.3">
      <c r="A93" s="6" t="s">
        <v>44</v>
      </c>
      <c r="B93" s="6" t="s">
        <v>3442</v>
      </c>
      <c r="C93" s="4" t="s">
        <v>3453</v>
      </c>
      <c r="D93" s="4" t="s">
        <v>3454</v>
      </c>
      <c r="E93" s="4" t="s">
        <v>3455</v>
      </c>
      <c r="F93" s="9" t="s">
        <v>3456</v>
      </c>
    </row>
    <row r="94" spans="1:6" ht="38.25" x14ac:dyDescent="0.3">
      <c r="A94" s="6" t="s">
        <v>44</v>
      </c>
      <c r="B94" s="6" t="s">
        <v>3442</v>
      </c>
      <c r="C94" s="4" t="s">
        <v>3457</v>
      </c>
      <c r="D94" s="4" t="s">
        <v>3458</v>
      </c>
      <c r="E94" s="4" t="s">
        <v>3459</v>
      </c>
      <c r="F94" s="9" t="s">
        <v>3460</v>
      </c>
    </row>
    <row r="95" spans="1:6" ht="38.25" x14ac:dyDescent="0.3">
      <c r="A95" s="6" t="s">
        <v>44</v>
      </c>
      <c r="B95" s="6" t="s">
        <v>3442</v>
      </c>
      <c r="C95" s="4" t="s">
        <v>3461</v>
      </c>
      <c r="D95" s="4" t="s">
        <v>3462</v>
      </c>
      <c r="E95" s="4" t="s">
        <v>3463</v>
      </c>
      <c r="F95" s="9" t="s">
        <v>3464</v>
      </c>
    </row>
    <row r="96" spans="1:6" ht="38.25" x14ac:dyDescent="0.3">
      <c r="A96" s="6" t="s">
        <v>44</v>
      </c>
      <c r="B96" s="6" t="s">
        <v>3442</v>
      </c>
      <c r="C96" s="4" t="s">
        <v>3465</v>
      </c>
      <c r="D96" s="4" t="s">
        <v>3466</v>
      </c>
      <c r="E96" s="4" t="s">
        <v>3467</v>
      </c>
      <c r="F96" s="9" t="s">
        <v>3468</v>
      </c>
    </row>
    <row r="97" spans="1:6" ht="25.5" x14ac:dyDescent="0.3">
      <c r="A97" s="6" t="s">
        <v>44</v>
      </c>
      <c r="B97" s="6" t="s">
        <v>3442</v>
      </c>
      <c r="C97" s="4" t="s">
        <v>3469</v>
      </c>
      <c r="D97" s="4" t="s">
        <v>3470</v>
      </c>
      <c r="E97" s="4" t="s">
        <v>3471</v>
      </c>
      <c r="F97" s="9" t="s">
        <v>3338</v>
      </c>
    </row>
    <row r="98" spans="1:6" ht="38.25" x14ac:dyDescent="0.3">
      <c r="A98" s="6" t="s">
        <v>44</v>
      </c>
      <c r="B98" s="6" t="s">
        <v>3442</v>
      </c>
      <c r="C98" s="4" t="s">
        <v>3472</v>
      </c>
      <c r="D98" s="4" t="s">
        <v>3473</v>
      </c>
      <c r="E98" s="4" t="s">
        <v>3474</v>
      </c>
      <c r="F98" s="9" t="s">
        <v>3475</v>
      </c>
    </row>
    <row r="99" spans="1:6" ht="38.25" x14ac:dyDescent="0.3">
      <c r="A99" s="6" t="s">
        <v>44</v>
      </c>
      <c r="B99" s="6" t="s">
        <v>3442</v>
      </c>
      <c r="C99" s="4" t="s">
        <v>3476</v>
      </c>
      <c r="D99" s="4" t="s">
        <v>3477</v>
      </c>
      <c r="E99" s="4" t="s">
        <v>3478</v>
      </c>
      <c r="F99" s="9" t="s">
        <v>3199</v>
      </c>
    </row>
    <row r="100" spans="1:6" ht="38.25" x14ac:dyDescent="0.3">
      <c r="A100" s="6" t="s">
        <v>44</v>
      </c>
      <c r="B100" s="6" t="s">
        <v>3442</v>
      </c>
      <c r="C100" s="4" t="s">
        <v>3479</v>
      </c>
      <c r="D100" s="4" t="s">
        <v>3480</v>
      </c>
      <c r="E100" s="4" t="s">
        <v>3481</v>
      </c>
      <c r="F100" s="9" t="s">
        <v>3139</v>
      </c>
    </row>
    <row r="101" spans="1:6" ht="51" x14ac:dyDescent="0.3">
      <c r="A101" s="6" t="s">
        <v>44</v>
      </c>
      <c r="B101" s="6" t="s">
        <v>3442</v>
      </c>
      <c r="C101" s="4" t="s">
        <v>3482</v>
      </c>
      <c r="D101" s="4" t="s">
        <v>3483</v>
      </c>
      <c r="E101" s="4" t="s">
        <v>3484</v>
      </c>
      <c r="F101" s="9" t="s">
        <v>3485</v>
      </c>
    </row>
    <row r="102" spans="1:6" ht="38.25" x14ac:dyDescent="0.3">
      <c r="A102" s="6" t="s">
        <v>44</v>
      </c>
      <c r="B102" s="6" t="s">
        <v>3442</v>
      </c>
      <c r="C102" s="4" t="s">
        <v>3486</v>
      </c>
      <c r="D102" s="4" t="s">
        <v>3487</v>
      </c>
      <c r="E102" s="4" t="s">
        <v>3488</v>
      </c>
      <c r="F102" s="9" t="s">
        <v>3489</v>
      </c>
    </row>
    <row r="103" spans="1:6" ht="25.5" x14ac:dyDescent="0.3">
      <c r="A103" s="6" t="s">
        <v>44</v>
      </c>
      <c r="B103" s="6" t="s">
        <v>3442</v>
      </c>
      <c r="C103" s="4" t="s">
        <v>3490</v>
      </c>
      <c r="D103" s="4" t="s">
        <v>3491</v>
      </c>
      <c r="E103" s="4" t="s">
        <v>3492</v>
      </c>
      <c r="F103" s="9" t="s">
        <v>3493</v>
      </c>
    </row>
    <row r="104" spans="1:6" ht="38.25" x14ac:dyDescent="0.3">
      <c r="A104" s="6" t="s">
        <v>44</v>
      </c>
      <c r="B104" s="6" t="s">
        <v>3442</v>
      </c>
      <c r="C104" s="4" t="s">
        <v>3494</v>
      </c>
      <c r="D104" s="4" t="s">
        <v>3495</v>
      </c>
      <c r="E104" s="4" t="s">
        <v>3496</v>
      </c>
      <c r="F104" s="9" t="s">
        <v>3497</v>
      </c>
    </row>
    <row r="105" spans="1:6" ht="25.5" x14ac:dyDescent="0.3">
      <c r="A105" s="6" t="s">
        <v>44</v>
      </c>
      <c r="B105" s="6" t="s">
        <v>3442</v>
      </c>
      <c r="C105" s="4" t="s">
        <v>3498</v>
      </c>
      <c r="D105" s="4" t="s">
        <v>3499</v>
      </c>
      <c r="E105" s="4" t="s">
        <v>3500</v>
      </c>
      <c r="F105" s="9" t="s">
        <v>3206</v>
      </c>
    </row>
    <row r="106" spans="1:6" ht="38.25" x14ac:dyDescent="0.3">
      <c r="A106" s="6" t="s">
        <v>44</v>
      </c>
      <c r="B106" s="6" t="s">
        <v>3442</v>
      </c>
      <c r="C106" s="4" t="s">
        <v>3501</v>
      </c>
      <c r="D106" s="4" t="s">
        <v>3502</v>
      </c>
      <c r="E106" s="4" t="s">
        <v>3503</v>
      </c>
      <c r="F106" s="9" t="s">
        <v>3485</v>
      </c>
    </row>
    <row r="107" spans="1:6" ht="38.25" x14ac:dyDescent="0.3">
      <c r="A107" s="6" t="s">
        <v>44</v>
      </c>
      <c r="B107" s="6" t="s">
        <v>3442</v>
      </c>
      <c r="C107" s="4" t="s">
        <v>3504</v>
      </c>
      <c r="D107" s="4" t="s">
        <v>3505</v>
      </c>
      <c r="E107" s="4" t="s">
        <v>3506</v>
      </c>
      <c r="F107" s="9" t="s">
        <v>3475</v>
      </c>
    </row>
    <row r="108" spans="1:6" ht="25.5" x14ac:dyDescent="0.3">
      <c r="A108" s="6" t="s">
        <v>44</v>
      </c>
      <c r="B108" s="6" t="s">
        <v>3442</v>
      </c>
      <c r="C108" s="4" t="s">
        <v>3507</v>
      </c>
      <c r="D108" s="4" t="s">
        <v>3508</v>
      </c>
      <c r="E108" s="4" t="s">
        <v>3509</v>
      </c>
      <c r="F108" s="9" t="s">
        <v>3489</v>
      </c>
    </row>
    <row r="109" spans="1:6" ht="38.25" x14ac:dyDescent="0.3">
      <c r="A109" s="6" t="s">
        <v>44</v>
      </c>
      <c r="B109" s="6" t="s">
        <v>3442</v>
      </c>
      <c r="C109" s="4" t="s">
        <v>3510</v>
      </c>
      <c r="D109" s="4" t="s">
        <v>3511</v>
      </c>
      <c r="E109" s="4" t="s">
        <v>3512</v>
      </c>
      <c r="F109" s="9" t="s">
        <v>3497</v>
      </c>
    </row>
    <row r="110" spans="1:6" ht="38.25" x14ac:dyDescent="0.3">
      <c r="A110" s="6" t="s">
        <v>44</v>
      </c>
      <c r="B110" s="6" t="s">
        <v>3442</v>
      </c>
      <c r="C110" s="4" t="s">
        <v>3513</v>
      </c>
      <c r="D110" s="4" t="s">
        <v>3514</v>
      </c>
      <c r="E110" s="4" t="s">
        <v>3515</v>
      </c>
      <c r="F110" s="9" t="s">
        <v>3338</v>
      </c>
    </row>
    <row r="111" spans="1:6" ht="38.25" x14ac:dyDescent="0.3">
      <c r="A111" s="6" t="s">
        <v>44</v>
      </c>
      <c r="B111" s="6" t="s">
        <v>3442</v>
      </c>
      <c r="C111" s="4" t="s">
        <v>3516</v>
      </c>
      <c r="D111" s="4" t="s">
        <v>3517</v>
      </c>
      <c r="E111" s="4" t="s">
        <v>3518</v>
      </c>
      <c r="F111" s="9" t="s">
        <v>3460</v>
      </c>
    </row>
    <row r="112" spans="1:6" ht="38.25" x14ac:dyDescent="0.3">
      <c r="A112" s="6" t="s">
        <v>44</v>
      </c>
      <c r="B112" s="6" t="s">
        <v>3442</v>
      </c>
      <c r="C112" s="4" t="s">
        <v>3519</v>
      </c>
      <c r="D112" s="4" t="s">
        <v>3520</v>
      </c>
      <c r="E112" s="4" t="s">
        <v>3521</v>
      </c>
      <c r="F112" s="9" t="s">
        <v>3489</v>
      </c>
    </row>
    <row r="113" spans="1:6" ht="38.25" x14ac:dyDescent="0.3">
      <c r="A113" s="6" t="s">
        <v>44</v>
      </c>
      <c r="B113" s="6" t="s">
        <v>3442</v>
      </c>
      <c r="C113" s="4" t="s">
        <v>3522</v>
      </c>
      <c r="D113" s="4" t="s">
        <v>3523</v>
      </c>
      <c r="E113" s="4" t="s">
        <v>3524</v>
      </c>
      <c r="F113" s="9" t="s">
        <v>3199</v>
      </c>
    </row>
    <row r="114" spans="1:6" ht="25.5" x14ac:dyDescent="0.3">
      <c r="A114" s="6" t="s">
        <v>44</v>
      </c>
      <c r="B114" s="6" t="s">
        <v>3442</v>
      </c>
      <c r="C114" s="4" t="s">
        <v>3525</v>
      </c>
      <c r="D114" s="4" t="s">
        <v>3526</v>
      </c>
      <c r="E114" s="4" t="s">
        <v>3515</v>
      </c>
      <c r="F114" s="9" t="s">
        <v>3338</v>
      </c>
    </row>
    <row r="115" spans="1:6" ht="36" x14ac:dyDescent="0.3">
      <c r="A115" s="6" t="s">
        <v>45</v>
      </c>
      <c r="B115" s="6" t="s">
        <v>3442</v>
      </c>
      <c r="C115" s="4" t="s">
        <v>3527</v>
      </c>
      <c r="D115" s="4" t="s">
        <v>3528</v>
      </c>
      <c r="E115" s="4" t="s">
        <v>3529</v>
      </c>
      <c r="F115" s="9" t="s">
        <v>3530</v>
      </c>
    </row>
    <row r="116" spans="1:6" ht="38.25" x14ac:dyDescent="0.3">
      <c r="A116" s="6" t="s">
        <v>45</v>
      </c>
      <c r="B116" s="6" t="s">
        <v>3442</v>
      </c>
      <c r="C116" s="4" t="s">
        <v>3531</v>
      </c>
      <c r="D116" s="4" t="s">
        <v>3532</v>
      </c>
      <c r="E116" s="4" t="s">
        <v>3533</v>
      </c>
      <c r="F116" s="9" t="s">
        <v>3534</v>
      </c>
    </row>
    <row r="117" spans="1:6" ht="25.5" x14ac:dyDescent="0.3">
      <c r="A117" s="6" t="s">
        <v>45</v>
      </c>
      <c r="B117" s="6" t="s">
        <v>3442</v>
      </c>
      <c r="C117" s="4" t="s">
        <v>3535</v>
      </c>
      <c r="D117" s="4" t="s">
        <v>3536</v>
      </c>
      <c r="E117" s="4" t="s">
        <v>3537</v>
      </c>
      <c r="F117" s="9" t="s">
        <v>3534</v>
      </c>
    </row>
    <row r="118" spans="1:6" ht="25.5" x14ac:dyDescent="0.3">
      <c r="A118" s="6" t="s">
        <v>45</v>
      </c>
      <c r="B118" s="6" t="s">
        <v>3442</v>
      </c>
      <c r="C118" s="4" t="s">
        <v>3538</v>
      </c>
      <c r="D118" s="4" t="s">
        <v>3539</v>
      </c>
      <c r="E118" s="4" t="s">
        <v>3540</v>
      </c>
      <c r="F118" s="9" t="s">
        <v>3541</v>
      </c>
    </row>
    <row r="119" spans="1:6" ht="38.25" x14ac:dyDescent="0.3">
      <c r="A119" s="6" t="s">
        <v>45</v>
      </c>
      <c r="B119" s="6" t="s">
        <v>3442</v>
      </c>
      <c r="C119" s="4" t="s">
        <v>3542</v>
      </c>
      <c r="D119" s="4" t="s">
        <v>3543</v>
      </c>
      <c r="E119" s="4" t="s">
        <v>3544</v>
      </c>
      <c r="F119" s="9" t="s">
        <v>3545</v>
      </c>
    </row>
    <row r="120" spans="1:6" ht="38.25" x14ac:dyDescent="0.3">
      <c r="A120" s="6" t="s">
        <v>45</v>
      </c>
      <c r="B120" s="6" t="s">
        <v>3442</v>
      </c>
      <c r="C120" s="4" t="s">
        <v>3546</v>
      </c>
      <c r="D120" s="4" t="s">
        <v>3547</v>
      </c>
      <c r="E120" s="4" t="s">
        <v>3548</v>
      </c>
      <c r="F120" s="9" t="s">
        <v>3549</v>
      </c>
    </row>
    <row r="121" spans="1:6" ht="38.25" x14ac:dyDescent="0.3">
      <c r="A121" s="6" t="s">
        <v>45</v>
      </c>
      <c r="B121" s="6" t="s">
        <v>3442</v>
      </c>
      <c r="C121" s="4" t="s">
        <v>3550</v>
      </c>
      <c r="D121" s="4" t="s">
        <v>3551</v>
      </c>
      <c r="E121" s="4" t="s">
        <v>3552</v>
      </c>
      <c r="F121" s="9" t="s">
        <v>3553</v>
      </c>
    </row>
    <row r="122" spans="1:6" ht="38.25" x14ac:dyDescent="0.3">
      <c r="A122" s="6" t="s">
        <v>45</v>
      </c>
      <c r="B122" s="6" t="s">
        <v>3442</v>
      </c>
      <c r="C122" s="4" t="s">
        <v>3554</v>
      </c>
      <c r="D122" s="4" t="s">
        <v>3555</v>
      </c>
      <c r="E122" s="4" t="s">
        <v>3556</v>
      </c>
      <c r="F122" s="9" t="s">
        <v>3557</v>
      </c>
    </row>
    <row r="123" spans="1:6" ht="38.25" x14ac:dyDescent="0.3">
      <c r="A123" s="6" t="s">
        <v>45</v>
      </c>
      <c r="B123" s="6" t="s">
        <v>3442</v>
      </c>
      <c r="C123" s="4" t="s">
        <v>3558</v>
      </c>
      <c r="D123" s="4" t="s">
        <v>3559</v>
      </c>
      <c r="E123" s="4" t="s">
        <v>3560</v>
      </c>
      <c r="F123" s="9" t="s">
        <v>3557</v>
      </c>
    </row>
    <row r="124" spans="1:6" ht="36" x14ac:dyDescent="0.3">
      <c r="A124" s="6" t="s">
        <v>45</v>
      </c>
      <c r="B124" s="6" t="s">
        <v>3442</v>
      </c>
      <c r="C124" s="4" t="s">
        <v>3561</v>
      </c>
      <c r="D124" s="4" t="s">
        <v>3562</v>
      </c>
      <c r="E124" s="4" t="s">
        <v>3563</v>
      </c>
      <c r="F124" s="9" t="s">
        <v>3564</v>
      </c>
    </row>
    <row r="125" spans="1:6" ht="25.5" x14ac:dyDescent="0.3">
      <c r="A125" s="6" t="s">
        <v>45</v>
      </c>
      <c r="B125" s="6" t="s">
        <v>3442</v>
      </c>
      <c r="C125" s="4" t="s">
        <v>3565</v>
      </c>
      <c r="D125" s="4" t="s">
        <v>3566</v>
      </c>
      <c r="E125" s="4" t="s">
        <v>3567</v>
      </c>
      <c r="F125" s="9" t="s">
        <v>3568</v>
      </c>
    </row>
    <row r="126" spans="1:6" ht="38.25" x14ac:dyDescent="0.3">
      <c r="A126" s="6" t="s">
        <v>45</v>
      </c>
      <c r="B126" s="6" t="s">
        <v>3442</v>
      </c>
      <c r="C126" s="4" t="s">
        <v>3569</v>
      </c>
      <c r="D126" s="4" t="s">
        <v>3570</v>
      </c>
      <c r="E126" s="4" t="s">
        <v>3571</v>
      </c>
      <c r="F126" s="9" t="s">
        <v>3572</v>
      </c>
    </row>
    <row r="127" spans="1:6" ht="25.5" x14ac:dyDescent="0.3">
      <c r="A127" s="6" t="s">
        <v>45</v>
      </c>
      <c r="B127" s="6" t="s">
        <v>3442</v>
      </c>
      <c r="C127" s="4" t="s">
        <v>3573</v>
      </c>
      <c r="D127" s="4" t="s">
        <v>3574</v>
      </c>
      <c r="E127" s="4" t="s">
        <v>3500</v>
      </c>
      <c r="F127" s="9" t="s">
        <v>3575</v>
      </c>
    </row>
    <row r="128" spans="1:6" ht="25.5" x14ac:dyDescent="0.3">
      <c r="A128" s="6" t="s">
        <v>45</v>
      </c>
      <c r="B128" s="6" t="s">
        <v>3442</v>
      </c>
      <c r="C128" s="4" t="s">
        <v>3576</v>
      </c>
      <c r="D128" s="4" t="s">
        <v>3577</v>
      </c>
      <c r="E128" s="4" t="s">
        <v>3578</v>
      </c>
      <c r="F128" s="9" t="s">
        <v>3579</v>
      </c>
    </row>
    <row r="129" spans="1:6" ht="38.25" x14ac:dyDescent="0.3">
      <c r="A129" s="6" t="s">
        <v>45</v>
      </c>
      <c r="B129" s="6" t="s">
        <v>3442</v>
      </c>
      <c r="C129" s="4" t="s">
        <v>3580</v>
      </c>
      <c r="D129" s="4" t="s">
        <v>3581</v>
      </c>
      <c r="E129" s="4" t="s">
        <v>3582</v>
      </c>
      <c r="F129" s="9" t="s">
        <v>3583</v>
      </c>
    </row>
    <row r="130" spans="1:6" ht="38.25" x14ac:dyDescent="0.3">
      <c r="A130" s="6" t="s">
        <v>45</v>
      </c>
      <c r="B130" s="6" t="s">
        <v>3442</v>
      </c>
      <c r="C130" s="4" t="s">
        <v>3584</v>
      </c>
      <c r="D130" s="4" t="s">
        <v>3585</v>
      </c>
      <c r="E130" s="4" t="s">
        <v>3586</v>
      </c>
      <c r="F130" s="9" t="s">
        <v>3587</v>
      </c>
    </row>
    <row r="131" spans="1:6" ht="38.25" x14ac:dyDescent="0.3">
      <c r="A131" s="6" t="s">
        <v>45</v>
      </c>
      <c r="B131" s="6" t="s">
        <v>3442</v>
      </c>
      <c r="C131" s="4" t="s">
        <v>3588</v>
      </c>
      <c r="D131" s="4" t="s">
        <v>3589</v>
      </c>
      <c r="E131" s="4" t="s">
        <v>3590</v>
      </c>
      <c r="F131" s="9" t="s">
        <v>3591</v>
      </c>
    </row>
    <row r="132" spans="1:6" ht="25.5" x14ac:dyDescent="0.3">
      <c r="A132" s="6" t="s">
        <v>45</v>
      </c>
      <c r="B132" s="6" t="s">
        <v>3442</v>
      </c>
      <c r="C132" s="4" t="s">
        <v>3592</v>
      </c>
      <c r="D132" s="4" t="s">
        <v>3593</v>
      </c>
      <c r="E132" s="4" t="s">
        <v>3594</v>
      </c>
      <c r="F132" s="9" t="s">
        <v>3595</v>
      </c>
    </row>
    <row r="133" spans="1:6" ht="38.25" x14ac:dyDescent="0.3">
      <c r="A133" s="6" t="s">
        <v>45</v>
      </c>
      <c r="B133" s="6" t="s">
        <v>3442</v>
      </c>
      <c r="C133" s="4" t="s">
        <v>3596</v>
      </c>
      <c r="D133" s="4" t="s">
        <v>3597</v>
      </c>
      <c r="E133" s="4" t="s">
        <v>3500</v>
      </c>
      <c r="F133" s="9" t="s">
        <v>3572</v>
      </c>
    </row>
    <row r="134" spans="1:6" ht="25.5" x14ac:dyDescent="0.3">
      <c r="A134" s="6" t="s">
        <v>45</v>
      </c>
      <c r="B134" s="6" t="s">
        <v>3442</v>
      </c>
      <c r="C134" s="4" t="s">
        <v>3598</v>
      </c>
      <c r="D134" s="4" t="s">
        <v>3599</v>
      </c>
      <c r="E134" s="4" t="s">
        <v>3500</v>
      </c>
      <c r="F134" s="9" t="s">
        <v>3575</v>
      </c>
    </row>
    <row r="135" spans="1:6" ht="25.5" x14ac:dyDescent="0.3">
      <c r="A135" s="6" t="s">
        <v>45</v>
      </c>
      <c r="B135" s="6" t="s">
        <v>3442</v>
      </c>
      <c r="C135" s="4" t="s">
        <v>3600</v>
      </c>
      <c r="D135" s="4" t="s">
        <v>3601</v>
      </c>
      <c r="E135" s="4" t="s">
        <v>3500</v>
      </c>
      <c r="F135" s="9" t="s">
        <v>3579</v>
      </c>
    </row>
    <row r="136" spans="1:6" ht="38.25" x14ac:dyDescent="0.3">
      <c r="A136" s="6" t="s">
        <v>45</v>
      </c>
      <c r="B136" s="6" t="s">
        <v>3442</v>
      </c>
      <c r="C136" s="4" t="s">
        <v>3602</v>
      </c>
      <c r="D136" s="4" t="s">
        <v>3603</v>
      </c>
      <c r="E136" s="4" t="s">
        <v>3604</v>
      </c>
      <c r="F136" s="9" t="s">
        <v>3605</v>
      </c>
    </row>
    <row r="137" spans="1:6" ht="38.25" x14ac:dyDescent="0.3">
      <c r="A137" s="6" t="s">
        <v>45</v>
      </c>
      <c r="B137" s="6" t="s">
        <v>3442</v>
      </c>
      <c r="C137" s="4" t="s">
        <v>3606</v>
      </c>
      <c r="D137" s="4" t="s">
        <v>3607</v>
      </c>
      <c r="E137" s="4" t="s">
        <v>3608</v>
      </c>
      <c r="F137" s="9" t="s">
        <v>3609</v>
      </c>
    </row>
    <row r="138" spans="1:6" ht="38.25" x14ac:dyDescent="0.3">
      <c r="A138" s="6" t="s">
        <v>45</v>
      </c>
      <c r="B138" s="6" t="s">
        <v>3442</v>
      </c>
      <c r="C138" s="4" t="s">
        <v>3610</v>
      </c>
      <c r="D138" s="4" t="s">
        <v>3611</v>
      </c>
      <c r="E138" s="4" t="s">
        <v>3612</v>
      </c>
      <c r="F138" s="9" t="s">
        <v>3564</v>
      </c>
    </row>
    <row r="139" spans="1:6" ht="38.25" x14ac:dyDescent="0.3">
      <c r="A139" s="6" t="s">
        <v>45</v>
      </c>
      <c r="B139" s="6" t="s">
        <v>3442</v>
      </c>
      <c r="C139" s="4" t="s">
        <v>3613</v>
      </c>
      <c r="D139" s="4" t="s">
        <v>3614</v>
      </c>
      <c r="E139" s="4" t="s">
        <v>3615</v>
      </c>
      <c r="F139" s="9" t="s">
        <v>3534</v>
      </c>
    </row>
    <row r="140" spans="1:6" ht="25.5" x14ac:dyDescent="0.3">
      <c r="A140" s="6" t="s">
        <v>45</v>
      </c>
      <c r="B140" s="6" t="s">
        <v>3442</v>
      </c>
      <c r="C140" s="4" t="s">
        <v>3616</v>
      </c>
      <c r="D140" s="4" t="s">
        <v>3617</v>
      </c>
      <c r="E140" s="4" t="s">
        <v>3618</v>
      </c>
      <c r="F140" s="9" t="s">
        <v>3591</v>
      </c>
    </row>
    <row r="141" spans="1:6" ht="38.25" x14ac:dyDescent="0.3">
      <c r="A141" s="6" t="s">
        <v>45</v>
      </c>
      <c r="B141" s="6" t="s">
        <v>3442</v>
      </c>
      <c r="C141" s="4" t="s">
        <v>3619</v>
      </c>
      <c r="D141" s="4" t="s">
        <v>3620</v>
      </c>
      <c r="E141" s="4" t="s">
        <v>3621</v>
      </c>
      <c r="F141" s="9" t="s">
        <v>3583</v>
      </c>
    </row>
    <row r="142" spans="1:6" ht="38.25" x14ac:dyDescent="0.3">
      <c r="A142" s="6" t="s">
        <v>45</v>
      </c>
      <c r="B142" s="6" t="s">
        <v>3442</v>
      </c>
      <c r="C142" s="4" t="s">
        <v>3622</v>
      </c>
      <c r="D142" s="4" t="s">
        <v>3623</v>
      </c>
      <c r="E142" s="4" t="s">
        <v>3624</v>
      </c>
      <c r="F142" s="9" t="s">
        <v>3587</v>
      </c>
    </row>
    <row r="143" spans="1:6" ht="38.25" x14ac:dyDescent="0.3">
      <c r="A143" s="6" t="s">
        <v>45</v>
      </c>
      <c r="B143" s="6" t="s">
        <v>3442</v>
      </c>
      <c r="C143" s="4" t="s">
        <v>3625</v>
      </c>
      <c r="D143" s="4" t="s">
        <v>3626</v>
      </c>
      <c r="E143" s="4" t="s">
        <v>3627</v>
      </c>
      <c r="F143" s="9" t="s">
        <v>3628</v>
      </c>
    </row>
    <row r="144" spans="1:6" ht="25.5" x14ac:dyDescent="0.3">
      <c r="A144" s="6" t="s">
        <v>45</v>
      </c>
      <c r="B144" s="6" t="s">
        <v>3442</v>
      </c>
      <c r="C144" s="4" t="s">
        <v>3629</v>
      </c>
      <c r="D144" s="4" t="s">
        <v>3630</v>
      </c>
      <c r="E144" s="4" t="s">
        <v>3631</v>
      </c>
      <c r="F144" s="9" t="s">
        <v>3632</v>
      </c>
    </row>
    <row r="145" spans="1:6" ht="38.25" x14ac:dyDescent="0.3">
      <c r="A145" s="6" t="s">
        <v>45</v>
      </c>
      <c r="B145" s="6" t="s">
        <v>3442</v>
      </c>
      <c r="C145" s="4" t="s">
        <v>3633</v>
      </c>
      <c r="D145" s="4" t="s">
        <v>3634</v>
      </c>
      <c r="E145" s="4" t="s">
        <v>3635</v>
      </c>
      <c r="F145" s="9" t="s">
        <v>3541</v>
      </c>
    </row>
    <row r="146" spans="1:6" ht="51" x14ac:dyDescent="0.3">
      <c r="A146" s="6" t="s">
        <v>45</v>
      </c>
      <c r="B146" s="6" t="s">
        <v>3442</v>
      </c>
      <c r="C146" s="4" t="s">
        <v>3636</v>
      </c>
      <c r="D146" s="4" t="s">
        <v>3637</v>
      </c>
      <c r="E146" s="4" t="s">
        <v>3638</v>
      </c>
      <c r="F146" s="9" t="s">
        <v>3572</v>
      </c>
    </row>
    <row r="147" spans="1:6" ht="38.25" x14ac:dyDescent="0.3">
      <c r="A147" s="6" t="s">
        <v>45</v>
      </c>
      <c r="B147" s="6" t="s">
        <v>3442</v>
      </c>
      <c r="C147" s="4" t="s">
        <v>3639</v>
      </c>
      <c r="D147" s="4" t="s">
        <v>3640</v>
      </c>
      <c r="E147" s="4" t="s">
        <v>3641</v>
      </c>
      <c r="F147" s="9" t="s">
        <v>3534</v>
      </c>
    </row>
    <row r="148" spans="1:6" ht="25.5" x14ac:dyDescent="0.3">
      <c r="A148" s="6" t="s">
        <v>45</v>
      </c>
      <c r="B148" s="6" t="s">
        <v>3442</v>
      </c>
      <c r="C148" s="4" t="s">
        <v>3642</v>
      </c>
      <c r="D148" s="4" t="s">
        <v>3643</v>
      </c>
      <c r="E148" s="4" t="s">
        <v>3644</v>
      </c>
      <c r="F148" s="9" t="s">
        <v>3583</v>
      </c>
    </row>
    <row r="149" spans="1:6" ht="51" x14ac:dyDescent="0.3">
      <c r="A149" s="6" t="s">
        <v>45</v>
      </c>
      <c r="B149" s="6" t="s">
        <v>3442</v>
      </c>
      <c r="C149" s="4" t="s">
        <v>3645</v>
      </c>
      <c r="D149" s="4" t="s">
        <v>3646</v>
      </c>
      <c r="E149" s="4" t="s">
        <v>3647</v>
      </c>
      <c r="F149" s="9" t="s">
        <v>3587</v>
      </c>
    </row>
    <row r="150" spans="1:6" ht="51" x14ac:dyDescent="0.3">
      <c r="A150" s="6" t="s">
        <v>46</v>
      </c>
      <c r="B150" s="6" t="s">
        <v>3442</v>
      </c>
      <c r="C150" s="4" t="s">
        <v>3648</v>
      </c>
      <c r="D150" s="4" t="s">
        <v>3649</v>
      </c>
      <c r="E150" s="4" t="s">
        <v>3650</v>
      </c>
      <c r="F150" s="9" t="s">
        <v>3557</v>
      </c>
    </row>
    <row r="151" spans="1:6" ht="38.25" x14ac:dyDescent="0.3">
      <c r="A151" s="6" t="s">
        <v>46</v>
      </c>
      <c r="B151" s="6" t="s">
        <v>3442</v>
      </c>
      <c r="C151" s="4" t="s">
        <v>3651</v>
      </c>
      <c r="D151" s="4" t="s">
        <v>3652</v>
      </c>
      <c r="E151" s="4" t="s">
        <v>3653</v>
      </c>
      <c r="F151" s="9" t="s">
        <v>3654</v>
      </c>
    </row>
    <row r="152" spans="1:6" ht="63.75" x14ac:dyDescent="0.3">
      <c r="A152" s="6" t="s">
        <v>46</v>
      </c>
      <c r="B152" s="6" t="s">
        <v>3442</v>
      </c>
      <c r="C152" s="4" t="s">
        <v>3655</v>
      </c>
      <c r="D152" s="4" t="s">
        <v>3656</v>
      </c>
      <c r="E152" s="4" t="s">
        <v>3657</v>
      </c>
      <c r="F152" s="9" t="s">
        <v>3654</v>
      </c>
    </row>
    <row r="153" spans="1:6" ht="51" x14ac:dyDescent="0.3">
      <c r="A153" s="6" t="s">
        <v>46</v>
      </c>
      <c r="B153" s="6" t="s">
        <v>3442</v>
      </c>
      <c r="C153" s="4" t="s">
        <v>3658</v>
      </c>
      <c r="D153" s="4" t="s">
        <v>3659</v>
      </c>
      <c r="E153" s="4" t="s">
        <v>3660</v>
      </c>
      <c r="F153" s="9" t="s">
        <v>3661</v>
      </c>
    </row>
    <row r="154" spans="1:6" ht="38.25" x14ac:dyDescent="0.3">
      <c r="A154" s="6" t="s">
        <v>46</v>
      </c>
      <c r="B154" s="6" t="s">
        <v>3442</v>
      </c>
      <c r="C154" s="4" t="s">
        <v>3662</v>
      </c>
      <c r="D154" s="4" t="s">
        <v>3663</v>
      </c>
      <c r="E154" s="4" t="s">
        <v>3664</v>
      </c>
      <c r="F154" s="9" t="s">
        <v>3665</v>
      </c>
    </row>
    <row r="155" spans="1:6" ht="38.25" x14ac:dyDescent="0.3">
      <c r="A155" s="6" t="s">
        <v>46</v>
      </c>
      <c r="B155" s="6" t="s">
        <v>3442</v>
      </c>
      <c r="C155" s="4" t="s">
        <v>3666</v>
      </c>
      <c r="D155" s="4" t="s">
        <v>3667</v>
      </c>
      <c r="E155" s="4" t="s">
        <v>3668</v>
      </c>
      <c r="F155" s="9" t="s">
        <v>3669</v>
      </c>
    </row>
    <row r="156" spans="1:6" ht="38.25" x14ac:dyDescent="0.3">
      <c r="A156" s="6" t="s">
        <v>46</v>
      </c>
      <c r="B156" s="6" t="s">
        <v>3442</v>
      </c>
      <c r="C156" s="4" t="s">
        <v>3670</v>
      </c>
      <c r="D156" s="4" t="s">
        <v>3671</v>
      </c>
      <c r="E156" s="4" t="s">
        <v>3672</v>
      </c>
      <c r="F156" s="9" t="s">
        <v>3241</v>
      </c>
    </row>
    <row r="157" spans="1:6" ht="63.75" x14ac:dyDescent="0.3">
      <c r="A157" s="6" t="s">
        <v>46</v>
      </c>
      <c r="B157" s="6" t="s">
        <v>3442</v>
      </c>
      <c r="C157" s="4" t="s">
        <v>3673</v>
      </c>
      <c r="D157" s="4" t="s">
        <v>3674</v>
      </c>
      <c r="E157" s="4" t="s">
        <v>3675</v>
      </c>
      <c r="F157" s="9" t="s">
        <v>3241</v>
      </c>
    </row>
    <row r="158" spans="1:6" ht="25.5" x14ac:dyDescent="0.3">
      <c r="A158" s="6" t="s">
        <v>46</v>
      </c>
      <c r="B158" s="6" t="s">
        <v>3442</v>
      </c>
      <c r="C158" s="4" t="s">
        <v>3676</v>
      </c>
      <c r="D158" s="4" t="s">
        <v>3677</v>
      </c>
      <c r="E158" s="4" t="s">
        <v>3678</v>
      </c>
      <c r="F158" s="9" t="s">
        <v>3679</v>
      </c>
    </row>
    <row r="159" spans="1:6" ht="25.5" x14ac:dyDescent="0.3">
      <c r="A159" s="6" t="s">
        <v>46</v>
      </c>
      <c r="B159" s="6" t="s">
        <v>3442</v>
      </c>
      <c r="C159" s="4" t="s">
        <v>3680</v>
      </c>
      <c r="D159" s="4" t="s">
        <v>3681</v>
      </c>
      <c r="E159" s="4" t="s">
        <v>3682</v>
      </c>
      <c r="F159" s="9" t="s">
        <v>3226</v>
      </c>
    </row>
    <row r="160" spans="1:6" ht="38.25" x14ac:dyDescent="0.3">
      <c r="A160" s="6" t="s">
        <v>46</v>
      </c>
      <c r="B160" s="6" t="s">
        <v>3442</v>
      </c>
      <c r="C160" s="4" t="s">
        <v>3683</v>
      </c>
      <c r="D160" s="4" t="s">
        <v>3684</v>
      </c>
      <c r="E160" s="4" t="s">
        <v>3685</v>
      </c>
      <c r="F160" s="9" t="s">
        <v>3686</v>
      </c>
    </row>
    <row r="161" spans="1:6" ht="38.25" x14ac:dyDescent="0.3">
      <c r="A161" s="6" t="s">
        <v>46</v>
      </c>
      <c r="B161" s="6" t="s">
        <v>3442</v>
      </c>
      <c r="C161" s="4" t="s">
        <v>3687</v>
      </c>
      <c r="D161" s="4" t="s">
        <v>3688</v>
      </c>
      <c r="E161" s="4" t="s">
        <v>3689</v>
      </c>
      <c r="F161" s="9" t="s">
        <v>3690</v>
      </c>
    </row>
    <row r="162" spans="1:6" ht="25.5" x14ac:dyDescent="0.3">
      <c r="A162" s="6" t="s">
        <v>46</v>
      </c>
      <c r="B162" s="6" t="s">
        <v>3442</v>
      </c>
      <c r="C162" s="4" t="s">
        <v>3691</v>
      </c>
      <c r="D162" s="4" t="s">
        <v>3692</v>
      </c>
      <c r="E162" s="4" t="s">
        <v>3693</v>
      </c>
      <c r="F162" s="9" t="s">
        <v>3694</v>
      </c>
    </row>
    <row r="163" spans="1:6" ht="38.25" x14ac:dyDescent="0.3">
      <c r="A163" s="6" t="s">
        <v>46</v>
      </c>
      <c r="B163" s="6" t="s">
        <v>3442</v>
      </c>
      <c r="C163" s="4" t="s">
        <v>3695</v>
      </c>
      <c r="D163" s="4" t="s">
        <v>3696</v>
      </c>
      <c r="E163" s="4" t="s">
        <v>3697</v>
      </c>
      <c r="F163" s="9" t="s">
        <v>3342</v>
      </c>
    </row>
    <row r="164" spans="1:6" ht="38.25" x14ac:dyDescent="0.3">
      <c r="A164" s="6" t="s">
        <v>46</v>
      </c>
      <c r="B164" s="6" t="s">
        <v>3442</v>
      </c>
      <c r="C164" s="4" t="s">
        <v>3698</v>
      </c>
      <c r="D164" s="4" t="s">
        <v>3699</v>
      </c>
      <c r="E164" s="4" t="s">
        <v>3700</v>
      </c>
      <c r="F164" s="9" t="s">
        <v>3701</v>
      </c>
    </row>
    <row r="165" spans="1:6" ht="51" x14ac:dyDescent="0.3">
      <c r="A165" s="6" t="s">
        <v>46</v>
      </c>
      <c r="B165" s="6" t="s">
        <v>3442</v>
      </c>
      <c r="C165" s="4" t="s">
        <v>3702</v>
      </c>
      <c r="D165" s="4" t="s">
        <v>3703</v>
      </c>
      <c r="E165" s="4" t="s">
        <v>3704</v>
      </c>
      <c r="F165" s="9" t="s">
        <v>3705</v>
      </c>
    </row>
    <row r="166" spans="1:6" ht="38.25" x14ac:dyDescent="0.3">
      <c r="A166" s="6" t="s">
        <v>46</v>
      </c>
      <c r="B166" s="6" t="s">
        <v>3442</v>
      </c>
      <c r="C166" s="4" t="s">
        <v>3706</v>
      </c>
      <c r="D166" s="4" t="s">
        <v>3707</v>
      </c>
      <c r="E166" s="4" t="s">
        <v>3708</v>
      </c>
      <c r="F166" s="9" t="s">
        <v>3709</v>
      </c>
    </row>
    <row r="167" spans="1:6" ht="38.25" x14ac:dyDescent="0.3">
      <c r="A167" s="6" t="s">
        <v>46</v>
      </c>
      <c r="B167" s="6" t="s">
        <v>3442</v>
      </c>
      <c r="C167" s="4" t="s">
        <v>3710</v>
      </c>
      <c r="D167" s="4" t="s">
        <v>3711</v>
      </c>
      <c r="E167" s="4" t="s">
        <v>3621</v>
      </c>
      <c r="F167" s="9" t="s">
        <v>3222</v>
      </c>
    </row>
    <row r="168" spans="1:6" ht="25.5" x14ac:dyDescent="0.3">
      <c r="A168" s="6" t="s">
        <v>46</v>
      </c>
      <c r="B168" s="6" t="s">
        <v>3442</v>
      </c>
      <c r="C168" s="4" t="s">
        <v>3712</v>
      </c>
      <c r="D168" s="4" t="s">
        <v>3713</v>
      </c>
      <c r="E168" s="4" t="s">
        <v>3714</v>
      </c>
      <c r="F168" s="9" t="s">
        <v>3661</v>
      </c>
    </row>
    <row r="169" spans="1:6" ht="25.5" x14ac:dyDescent="0.3">
      <c r="A169" s="6" t="s">
        <v>46</v>
      </c>
      <c r="B169" s="6" t="s">
        <v>3442</v>
      </c>
      <c r="C169" s="4" t="s">
        <v>3715</v>
      </c>
      <c r="D169" s="4" t="s">
        <v>3716</v>
      </c>
      <c r="E169" s="4" t="s">
        <v>3500</v>
      </c>
      <c r="F169" s="9" t="s">
        <v>3665</v>
      </c>
    </row>
    <row r="170" spans="1:6" ht="25.5" x14ac:dyDescent="0.3">
      <c r="A170" s="6" t="s">
        <v>46</v>
      </c>
      <c r="B170" s="6" t="s">
        <v>3442</v>
      </c>
      <c r="C170" s="4" t="s">
        <v>3717</v>
      </c>
      <c r="D170" s="4" t="s">
        <v>3718</v>
      </c>
      <c r="E170" s="4" t="s">
        <v>3719</v>
      </c>
      <c r="F170" s="9" t="s">
        <v>3669</v>
      </c>
    </row>
    <row r="171" spans="1:6" ht="25.5" x14ac:dyDescent="0.3">
      <c r="A171" s="6" t="s">
        <v>46</v>
      </c>
      <c r="B171" s="6" t="s">
        <v>3442</v>
      </c>
      <c r="C171" s="4" t="s">
        <v>3720</v>
      </c>
      <c r="D171" s="4" t="s">
        <v>3721</v>
      </c>
      <c r="E171" s="4" t="s">
        <v>3515</v>
      </c>
      <c r="F171" s="9" t="s">
        <v>3701</v>
      </c>
    </row>
    <row r="172" spans="1:6" ht="38.25" x14ac:dyDescent="0.3">
      <c r="A172" s="6" t="s">
        <v>46</v>
      </c>
      <c r="B172" s="6" t="s">
        <v>3442</v>
      </c>
      <c r="C172" s="4" t="s">
        <v>3722</v>
      </c>
      <c r="D172" s="4" t="s">
        <v>3723</v>
      </c>
      <c r="E172" s="4" t="s">
        <v>3724</v>
      </c>
      <c r="F172" s="9" t="s">
        <v>3705</v>
      </c>
    </row>
    <row r="173" spans="1:6" ht="38.25" x14ac:dyDescent="0.3">
      <c r="A173" s="6" t="s">
        <v>46</v>
      </c>
      <c r="B173" s="6" t="s">
        <v>3442</v>
      </c>
      <c r="C173" s="4" t="s">
        <v>3725</v>
      </c>
      <c r="D173" s="4" t="s">
        <v>3726</v>
      </c>
      <c r="E173" s="4" t="s">
        <v>3727</v>
      </c>
      <c r="F173" s="9" t="s">
        <v>3728</v>
      </c>
    </row>
    <row r="174" spans="1:6" ht="38.25" x14ac:dyDescent="0.3">
      <c r="A174" s="6" t="s">
        <v>46</v>
      </c>
      <c r="B174" s="6" t="s">
        <v>3442</v>
      </c>
      <c r="C174" s="4" t="s">
        <v>3729</v>
      </c>
      <c r="D174" s="4" t="s">
        <v>3730</v>
      </c>
      <c r="E174" s="4" t="s">
        <v>3731</v>
      </c>
      <c r="F174" s="9" t="s">
        <v>3342</v>
      </c>
    </row>
    <row r="175" spans="1:6" ht="38.25" x14ac:dyDescent="0.3">
      <c r="A175" s="6" t="s">
        <v>46</v>
      </c>
      <c r="B175" s="6" t="s">
        <v>3442</v>
      </c>
      <c r="C175" s="4" t="s">
        <v>3732</v>
      </c>
      <c r="D175" s="4" t="s">
        <v>3733</v>
      </c>
      <c r="E175" s="4" t="s">
        <v>3734</v>
      </c>
      <c r="F175" s="9" t="s">
        <v>3241</v>
      </c>
    </row>
    <row r="176" spans="1:6" ht="36" x14ac:dyDescent="0.3">
      <c r="A176" s="6" t="s">
        <v>46</v>
      </c>
      <c r="B176" s="6" t="s">
        <v>3442</v>
      </c>
      <c r="C176" s="4" t="s">
        <v>3735</v>
      </c>
      <c r="D176" s="4" t="s">
        <v>3736</v>
      </c>
      <c r="E176" s="4" t="s">
        <v>3737</v>
      </c>
      <c r="F176" s="9" t="s">
        <v>3557</v>
      </c>
    </row>
    <row r="177" spans="1:6" ht="51" x14ac:dyDescent="0.3">
      <c r="A177" s="6" t="s">
        <v>46</v>
      </c>
      <c r="B177" s="6" t="s">
        <v>3442</v>
      </c>
      <c r="C177" s="4" t="s">
        <v>3738</v>
      </c>
      <c r="D177" s="4" t="s">
        <v>3739</v>
      </c>
      <c r="E177" s="4" t="s">
        <v>3740</v>
      </c>
      <c r="F177" s="9" t="s">
        <v>3654</v>
      </c>
    </row>
    <row r="178" spans="1:6" ht="25.5" x14ac:dyDescent="0.3">
      <c r="A178" s="6" t="s">
        <v>46</v>
      </c>
      <c r="B178" s="6" t="s">
        <v>3442</v>
      </c>
      <c r="C178" s="4" t="s">
        <v>3741</v>
      </c>
      <c r="D178" s="4" t="s">
        <v>3742</v>
      </c>
      <c r="E178" s="4" t="s">
        <v>3737</v>
      </c>
      <c r="F178" s="9" t="s">
        <v>3705</v>
      </c>
    </row>
    <row r="179" spans="1:6" ht="25.5" x14ac:dyDescent="0.3">
      <c r="A179" s="6" t="s">
        <v>46</v>
      </c>
      <c r="B179" s="6" t="s">
        <v>3442</v>
      </c>
      <c r="C179" s="4" t="s">
        <v>3743</v>
      </c>
      <c r="D179" s="4" t="s">
        <v>3744</v>
      </c>
      <c r="E179" s="4" t="s">
        <v>3745</v>
      </c>
      <c r="F179" s="9" t="s">
        <v>3665</v>
      </c>
    </row>
    <row r="180" spans="1:6" x14ac:dyDescent="0.3">
      <c r="A180" s="6" t="s">
        <v>46</v>
      </c>
      <c r="B180" s="6" t="s">
        <v>3442</v>
      </c>
      <c r="C180" s="4" t="s">
        <v>3746</v>
      </c>
      <c r="D180" s="4" t="s">
        <v>3747</v>
      </c>
      <c r="E180" s="4" t="s">
        <v>3737</v>
      </c>
      <c r="F180" s="9" t="s">
        <v>3694</v>
      </c>
    </row>
    <row r="181" spans="1:6" ht="38.25" x14ac:dyDescent="0.3">
      <c r="A181" s="6" t="s">
        <v>46</v>
      </c>
      <c r="B181" s="6" t="s">
        <v>3442</v>
      </c>
      <c r="C181" s="4" t="s">
        <v>3748</v>
      </c>
      <c r="D181" s="4" t="s">
        <v>3749</v>
      </c>
      <c r="E181" s="4" t="s">
        <v>3750</v>
      </c>
      <c r="F181" s="9" t="s">
        <v>3751</v>
      </c>
    </row>
    <row r="182" spans="1:6" ht="51" x14ac:dyDescent="0.3">
      <c r="A182" s="6" t="s">
        <v>47</v>
      </c>
      <c r="B182" s="6" t="s">
        <v>3442</v>
      </c>
      <c r="C182" s="4" t="s">
        <v>3752</v>
      </c>
      <c r="D182" s="4" t="s">
        <v>3753</v>
      </c>
      <c r="E182" s="4" t="s">
        <v>3754</v>
      </c>
      <c r="F182" s="9" t="s">
        <v>3654</v>
      </c>
    </row>
    <row r="183" spans="1:6" ht="36" x14ac:dyDescent="0.3">
      <c r="A183" s="6" t="s">
        <v>47</v>
      </c>
      <c r="B183" s="6" t="s">
        <v>3442</v>
      </c>
      <c r="C183" s="4" t="s">
        <v>3755</v>
      </c>
      <c r="D183" s="4" t="s">
        <v>3756</v>
      </c>
      <c r="E183" s="4" t="s">
        <v>3757</v>
      </c>
      <c r="F183" s="9" t="s">
        <v>3654</v>
      </c>
    </row>
    <row r="184" spans="1:6" ht="38.25" x14ac:dyDescent="0.3">
      <c r="A184" s="6" t="s">
        <v>47</v>
      </c>
      <c r="B184" s="6" t="s">
        <v>3442</v>
      </c>
      <c r="C184" s="4" t="s">
        <v>3758</v>
      </c>
      <c r="D184" s="4" t="s">
        <v>3759</v>
      </c>
      <c r="E184" s="4" t="s">
        <v>3760</v>
      </c>
      <c r="F184" s="9" t="s">
        <v>3654</v>
      </c>
    </row>
    <row r="185" spans="1:6" ht="36" x14ac:dyDescent="0.3">
      <c r="A185" s="6" t="s">
        <v>47</v>
      </c>
      <c r="B185" s="6" t="s">
        <v>3442</v>
      </c>
      <c r="C185" s="4" t="s">
        <v>3761</v>
      </c>
      <c r="D185" s="4" t="s">
        <v>3762</v>
      </c>
      <c r="E185" s="4" t="s">
        <v>3763</v>
      </c>
      <c r="F185" s="9" t="s">
        <v>3654</v>
      </c>
    </row>
    <row r="186" spans="1:6" ht="38.25" x14ac:dyDescent="0.3">
      <c r="A186" s="6" t="s">
        <v>47</v>
      </c>
      <c r="B186" s="6" t="s">
        <v>3442</v>
      </c>
      <c r="C186" s="4" t="s">
        <v>3764</v>
      </c>
      <c r="D186" s="4" t="s">
        <v>3765</v>
      </c>
      <c r="E186" s="4" t="s">
        <v>3766</v>
      </c>
      <c r="F186" s="9" t="s">
        <v>3767</v>
      </c>
    </row>
    <row r="187" spans="1:6" ht="25.5" x14ac:dyDescent="0.3">
      <c r="A187" s="6" t="s">
        <v>47</v>
      </c>
      <c r="B187" s="6" t="s">
        <v>3442</v>
      </c>
      <c r="C187" s="4" t="s">
        <v>3768</v>
      </c>
      <c r="D187" s="4" t="s">
        <v>3769</v>
      </c>
      <c r="E187" s="4" t="s">
        <v>3770</v>
      </c>
      <c r="F187" s="9" t="s">
        <v>3771</v>
      </c>
    </row>
    <row r="188" spans="1:6" ht="38.25" x14ac:dyDescent="0.3">
      <c r="A188" s="6" t="s">
        <v>47</v>
      </c>
      <c r="B188" s="6" t="s">
        <v>3442</v>
      </c>
      <c r="C188" s="4" t="s">
        <v>3772</v>
      </c>
      <c r="D188" s="4" t="s">
        <v>3773</v>
      </c>
      <c r="E188" s="4" t="s">
        <v>3774</v>
      </c>
      <c r="F188" s="9" t="s">
        <v>3775</v>
      </c>
    </row>
    <row r="189" spans="1:6" ht="38.25" x14ac:dyDescent="0.3">
      <c r="A189" s="6" t="s">
        <v>47</v>
      </c>
      <c r="B189" s="6" t="s">
        <v>3442</v>
      </c>
      <c r="C189" s="4" t="s">
        <v>3776</v>
      </c>
      <c r="D189" s="4" t="s">
        <v>3777</v>
      </c>
      <c r="E189" s="4" t="s">
        <v>3778</v>
      </c>
      <c r="F189" s="9" t="s">
        <v>3779</v>
      </c>
    </row>
    <row r="190" spans="1:6" ht="38.25" x14ac:dyDescent="0.3">
      <c r="A190" s="6" t="s">
        <v>47</v>
      </c>
      <c r="B190" s="6" t="s">
        <v>3442</v>
      </c>
      <c r="C190" s="4" t="s">
        <v>3780</v>
      </c>
      <c r="D190" s="4" t="s">
        <v>3781</v>
      </c>
      <c r="E190" s="4" t="s">
        <v>3782</v>
      </c>
      <c r="F190" s="9" t="s">
        <v>3783</v>
      </c>
    </row>
    <row r="191" spans="1:6" ht="38.25" x14ac:dyDescent="0.3">
      <c r="A191" s="6" t="s">
        <v>47</v>
      </c>
      <c r="B191" s="6" t="s">
        <v>3442</v>
      </c>
      <c r="C191" s="4" t="s">
        <v>3784</v>
      </c>
      <c r="D191" s="4" t="s">
        <v>3785</v>
      </c>
      <c r="E191" s="4" t="s">
        <v>3786</v>
      </c>
      <c r="F191" s="9" t="s">
        <v>3274</v>
      </c>
    </row>
    <row r="192" spans="1:6" ht="25.5" x14ac:dyDescent="0.3">
      <c r="A192" s="6" t="s">
        <v>47</v>
      </c>
      <c r="B192" s="6" t="s">
        <v>3442</v>
      </c>
      <c r="C192" s="4" t="s">
        <v>3787</v>
      </c>
      <c r="D192" s="4" t="s">
        <v>3788</v>
      </c>
      <c r="E192" s="4" t="s">
        <v>3789</v>
      </c>
      <c r="F192" s="9" t="s">
        <v>3790</v>
      </c>
    </row>
    <row r="193" spans="1:6" ht="48" x14ac:dyDescent="0.3">
      <c r="A193" s="6" t="s">
        <v>47</v>
      </c>
      <c r="B193" s="6" t="s">
        <v>3442</v>
      </c>
      <c r="C193" s="4" t="s">
        <v>3791</v>
      </c>
      <c r="D193" s="4" t="s">
        <v>3792</v>
      </c>
      <c r="E193" s="4" t="s">
        <v>3793</v>
      </c>
      <c r="F193" s="9" t="s">
        <v>3794</v>
      </c>
    </row>
    <row r="194" spans="1:6" ht="38.25" x14ac:dyDescent="0.3">
      <c r="A194" s="6" t="s">
        <v>47</v>
      </c>
      <c r="B194" s="6" t="s">
        <v>3442</v>
      </c>
      <c r="C194" s="4" t="s">
        <v>3795</v>
      </c>
      <c r="D194" s="4" t="s">
        <v>3796</v>
      </c>
      <c r="E194" s="4" t="s">
        <v>3797</v>
      </c>
      <c r="F194" s="9" t="s">
        <v>3798</v>
      </c>
    </row>
    <row r="195" spans="1:6" ht="38.25" x14ac:dyDescent="0.3">
      <c r="A195" s="6" t="s">
        <v>47</v>
      </c>
      <c r="B195" s="6" t="s">
        <v>3442</v>
      </c>
      <c r="C195" s="4" t="s">
        <v>3799</v>
      </c>
      <c r="D195" s="4" t="s">
        <v>3800</v>
      </c>
      <c r="E195" s="4" t="s">
        <v>3801</v>
      </c>
      <c r="F195" s="9" t="s">
        <v>3802</v>
      </c>
    </row>
    <row r="196" spans="1:6" ht="38.25" x14ac:dyDescent="0.3">
      <c r="A196" s="6" t="s">
        <v>47</v>
      </c>
      <c r="B196" s="6" t="s">
        <v>3442</v>
      </c>
      <c r="C196" s="4" t="s">
        <v>3803</v>
      </c>
      <c r="D196" s="4" t="s">
        <v>3804</v>
      </c>
      <c r="E196" s="4" t="s">
        <v>3805</v>
      </c>
      <c r="F196" s="9" t="s">
        <v>3806</v>
      </c>
    </row>
    <row r="197" spans="1:6" ht="38.25" x14ac:dyDescent="0.3">
      <c r="A197" s="6" t="s">
        <v>47</v>
      </c>
      <c r="B197" s="6" t="s">
        <v>3442</v>
      </c>
      <c r="C197" s="4" t="s">
        <v>3807</v>
      </c>
      <c r="D197" s="4" t="s">
        <v>3808</v>
      </c>
      <c r="E197" s="4" t="s">
        <v>3809</v>
      </c>
      <c r="F197" s="9" t="s">
        <v>3810</v>
      </c>
    </row>
    <row r="198" spans="1:6" ht="51" x14ac:dyDescent="0.3">
      <c r="A198" s="6" t="s">
        <v>47</v>
      </c>
      <c r="B198" s="6" t="s">
        <v>3442</v>
      </c>
      <c r="C198" s="4" t="s">
        <v>3811</v>
      </c>
      <c r="D198" s="4" t="s">
        <v>3812</v>
      </c>
      <c r="E198" s="4" t="s">
        <v>3813</v>
      </c>
      <c r="F198" s="9" t="s">
        <v>3794</v>
      </c>
    </row>
    <row r="199" spans="1:6" ht="25.5" x14ac:dyDescent="0.3">
      <c r="A199" s="6" t="s">
        <v>47</v>
      </c>
      <c r="B199" s="6" t="s">
        <v>3442</v>
      </c>
      <c r="C199" s="4" t="s">
        <v>3814</v>
      </c>
      <c r="D199" s="4" t="s">
        <v>3815</v>
      </c>
      <c r="E199" s="4" t="s">
        <v>3816</v>
      </c>
      <c r="F199" s="9" t="s">
        <v>3245</v>
      </c>
    </row>
    <row r="200" spans="1:6" ht="38.25" x14ac:dyDescent="0.3">
      <c r="A200" s="6" t="s">
        <v>47</v>
      </c>
      <c r="B200" s="6" t="s">
        <v>3442</v>
      </c>
      <c r="C200" s="4" t="s">
        <v>3817</v>
      </c>
      <c r="D200" s="4" t="s">
        <v>3818</v>
      </c>
      <c r="E200" s="4" t="s">
        <v>3819</v>
      </c>
      <c r="F200" s="9" t="s">
        <v>3222</v>
      </c>
    </row>
    <row r="201" spans="1:6" ht="38.25" x14ac:dyDescent="0.3">
      <c r="A201" s="6" t="s">
        <v>47</v>
      </c>
      <c r="B201" s="6" t="s">
        <v>3442</v>
      </c>
      <c r="C201" s="4" t="s">
        <v>3820</v>
      </c>
      <c r="D201" s="4" t="s">
        <v>3821</v>
      </c>
      <c r="E201" s="4" t="s">
        <v>3822</v>
      </c>
      <c r="F201" s="9" t="s">
        <v>3798</v>
      </c>
    </row>
    <row r="202" spans="1:6" ht="25.5" x14ac:dyDescent="0.3">
      <c r="A202" s="6" t="s">
        <v>47</v>
      </c>
      <c r="B202" s="6" t="s">
        <v>3442</v>
      </c>
      <c r="C202" s="4" t="s">
        <v>3823</v>
      </c>
      <c r="D202" s="4" t="s">
        <v>3824</v>
      </c>
      <c r="E202" s="4" t="s">
        <v>3825</v>
      </c>
      <c r="F202" s="9" t="s">
        <v>3802</v>
      </c>
    </row>
    <row r="203" spans="1:6" ht="38.25" x14ac:dyDescent="0.3">
      <c r="A203" s="6" t="s">
        <v>47</v>
      </c>
      <c r="B203" s="6" t="s">
        <v>3442</v>
      </c>
      <c r="C203" s="4" t="s">
        <v>3826</v>
      </c>
      <c r="D203" s="4" t="s">
        <v>3827</v>
      </c>
      <c r="E203" s="4" t="s">
        <v>3828</v>
      </c>
      <c r="F203" s="9" t="s">
        <v>3829</v>
      </c>
    </row>
    <row r="204" spans="1:6" ht="51" x14ac:dyDescent="0.3">
      <c r="A204" s="6" t="s">
        <v>48</v>
      </c>
      <c r="B204" s="6" t="s">
        <v>3442</v>
      </c>
      <c r="C204" s="4" t="s">
        <v>3830</v>
      </c>
      <c r="D204" s="4" t="s">
        <v>3831</v>
      </c>
      <c r="E204" s="4" t="s">
        <v>3832</v>
      </c>
      <c r="F204" s="9" t="s">
        <v>3833</v>
      </c>
    </row>
    <row r="205" spans="1:6" ht="51" x14ac:dyDescent="0.3">
      <c r="A205" s="6" t="s">
        <v>48</v>
      </c>
      <c r="B205" s="6" t="s">
        <v>3442</v>
      </c>
      <c r="C205" s="4" t="s">
        <v>3834</v>
      </c>
      <c r="D205" s="4" t="s">
        <v>3835</v>
      </c>
      <c r="E205" s="4" t="s">
        <v>3836</v>
      </c>
      <c r="F205" s="9" t="s">
        <v>3833</v>
      </c>
    </row>
    <row r="206" spans="1:6" ht="25.5" x14ac:dyDescent="0.3">
      <c r="A206" s="6" t="s">
        <v>48</v>
      </c>
      <c r="B206" s="6" t="s">
        <v>3442</v>
      </c>
      <c r="C206" s="4" t="s">
        <v>3837</v>
      </c>
      <c r="D206" s="4" t="s">
        <v>3838</v>
      </c>
      <c r="E206" s="4" t="s">
        <v>3839</v>
      </c>
      <c r="F206" s="9" t="s">
        <v>3833</v>
      </c>
    </row>
    <row r="207" spans="1:6" ht="38.25" x14ac:dyDescent="0.3">
      <c r="A207" s="6" t="s">
        <v>48</v>
      </c>
      <c r="B207" s="6" t="s">
        <v>3442</v>
      </c>
      <c r="C207" s="4" t="s">
        <v>3840</v>
      </c>
      <c r="D207" s="4" t="s">
        <v>3841</v>
      </c>
      <c r="E207" s="4" t="s">
        <v>3842</v>
      </c>
      <c r="F207" s="9" t="s">
        <v>3843</v>
      </c>
    </row>
    <row r="208" spans="1:6" ht="38.25" x14ac:dyDescent="0.3">
      <c r="A208" s="6" t="s">
        <v>48</v>
      </c>
      <c r="B208" s="6" t="s">
        <v>3442</v>
      </c>
      <c r="C208" s="4" t="s">
        <v>3844</v>
      </c>
      <c r="D208" s="4" t="s">
        <v>3845</v>
      </c>
      <c r="E208" s="4" t="s">
        <v>3846</v>
      </c>
      <c r="F208" s="9" t="s">
        <v>3843</v>
      </c>
    </row>
    <row r="209" spans="1:6" ht="38.25" x14ac:dyDescent="0.3">
      <c r="A209" s="6" t="s">
        <v>48</v>
      </c>
      <c r="B209" s="6" t="s">
        <v>3442</v>
      </c>
      <c r="C209" s="4" t="s">
        <v>3847</v>
      </c>
      <c r="D209" s="4" t="s">
        <v>3848</v>
      </c>
      <c r="E209" s="4" t="s">
        <v>3849</v>
      </c>
      <c r="F209" s="9" t="s">
        <v>3843</v>
      </c>
    </row>
    <row r="210" spans="1:6" ht="38.25" x14ac:dyDescent="0.3">
      <c r="A210" s="6" t="s">
        <v>48</v>
      </c>
      <c r="B210" s="6" t="s">
        <v>3442</v>
      </c>
      <c r="C210" s="4" t="s">
        <v>3850</v>
      </c>
      <c r="D210" s="4" t="s">
        <v>3851</v>
      </c>
      <c r="E210" s="4" t="s">
        <v>3852</v>
      </c>
      <c r="F210" s="9" t="s">
        <v>3843</v>
      </c>
    </row>
    <row r="211" spans="1:6" ht="38.25" x14ac:dyDescent="0.3">
      <c r="A211" s="6" t="s">
        <v>48</v>
      </c>
      <c r="B211" s="6" t="s">
        <v>3442</v>
      </c>
      <c r="C211" s="4" t="s">
        <v>3853</v>
      </c>
      <c r="D211" s="4" t="s">
        <v>3854</v>
      </c>
      <c r="E211" s="4" t="s">
        <v>3855</v>
      </c>
      <c r="F211" s="9" t="s">
        <v>3843</v>
      </c>
    </row>
    <row r="212" spans="1:6" ht="38.25" x14ac:dyDescent="0.3">
      <c r="A212" s="6" t="s">
        <v>48</v>
      </c>
      <c r="B212" s="6" t="s">
        <v>3442</v>
      </c>
      <c r="C212" s="4" t="s">
        <v>3856</v>
      </c>
      <c r="D212" s="4" t="s">
        <v>3857</v>
      </c>
      <c r="E212" s="4" t="s">
        <v>3858</v>
      </c>
      <c r="F212" s="9" t="s">
        <v>3859</v>
      </c>
    </row>
    <row r="213" spans="1:6" ht="38.25" x14ac:dyDescent="0.3">
      <c r="A213" s="6" t="s">
        <v>48</v>
      </c>
      <c r="B213" s="6" t="s">
        <v>3442</v>
      </c>
      <c r="C213" s="4" t="s">
        <v>3860</v>
      </c>
      <c r="D213" s="4" t="s">
        <v>3861</v>
      </c>
      <c r="E213" s="4" t="s">
        <v>3862</v>
      </c>
      <c r="F213" s="9" t="s">
        <v>3863</v>
      </c>
    </row>
    <row r="214" spans="1:6" ht="25.5" x14ac:dyDescent="0.3">
      <c r="A214" s="6" t="s">
        <v>48</v>
      </c>
      <c r="B214" s="6" t="s">
        <v>3442</v>
      </c>
      <c r="C214" s="4" t="s">
        <v>3864</v>
      </c>
      <c r="D214" s="4" t="s">
        <v>3865</v>
      </c>
      <c r="E214" s="4" t="s">
        <v>3866</v>
      </c>
      <c r="F214" s="9" t="s">
        <v>3293</v>
      </c>
    </row>
    <row r="215" spans="1:6" ht="51" x14ac:dyDescent="0.3">
      <c r="A215" s="6" t="s">
        <v>48</v>
      </c>
      <c r="B215" s="6" t="s">
        <v>3442</v>
      </c>
      <c r="C215" s="4" t="s">
        <v>3867</v>
      </c>
      <c r="D215" s="4" t="s">
        <v>3868</v>
      </c>
      <c r="E215" s="4" t="s">
        <v>3869</v>
      </c>
      <c r="F215" s="9" t="s">
        <v>3870</v>
      </c>
    </row>
    <row r="216" spans="1:6" ht="60" x14ac:dyDescent="0.3">
      <c r="A216" s="6" t="s">
        <v>48</v>
      </c>
      <c r="B216" s="6" t="s">
        <v>3442</v>
      </c>
      <c r="C216" s="4" t="s">
        <v>3871</v>
      </c>
      <c r="D216" s="4" t="s">
        <v>3872</v>
      </c>
      <c r="E216" s="4" t="s">
        <v>3873</v>
      </c>
      <c r="F216" s="9" t="s">
        <v>3874</v>
      </c>
    </row>
    <row r="217" spans="1:6" ht="25.5" x14ac:dyDescent="0.3">
      <c r="A217" s="6" t="s">
        <v>48</v>
      </c>
      <c r="B217" s="6" t="s">
        <v>3442</v>
      </c>
      <c r="C217" s="4" t="s">
        <v>3875</v>
      </c>
      <c r="D217" s="4" t="s">
        <v>3876</v>
      </c>
      <c r="E217" s="4" t="s">
        <v>3877</v>
      </c>
      <c r="F217" s="9" t="s">
        <v>3878</v>
      </c>
    </row>
    <row r="218" spans="1:6" ht="25.5" x14ac:dyDescent="0.3">
      <c r="A218" s="6" t="s">
        <v>48</v>
      </c>
      <c r="B218" s="6" t="s">
        <v>3442</v>
      </c>
      <c r="C218" s="4" t="s">
        <v>3879</v>
      </c>
      <c r="D218" s="4" t="s">
        <v>3880</v>
      </c>
      <c r="E218" s="4" t="s">
        <v>3881</v>
      </c>
      <c r="F218" s="9" t="s">
        <v>3882</v>
      </c>
    </row>
    <row r="219" spans="1:6" ht="25.5" x14ac:dyDescent="0.3">
      <c r="A219" s="6" t="s">
        <v>48</v>
      </c>
      <c r="B219" s="6" t="s">
        <v>3442</v>
      </c>
      <c r="C219" s="4" t="s">
        <v>3883</v>
      </c>
      <c r="D219" s="4" t="s">
        <v>3884</v>
      </c>
      <c r="E219" s="4" t="s">
        <v>3885</v>
      </c>
      <c r="F219" s="9" t="s">
        <v>3863</v>
      </c>
    </row>
    <row r="220" spans="1:6" ht="25.5" x14ac:dyDescent="0.3">
      <c r="A220" s="6" t="s">
        <v>48</v>
      </c>
      <c r="B220" s="6" t="s">
        <v>3442</v>
      </c>
      <c r="C220" s="4" t="s">
        <v>3886</v>
      </c>
      <c r="D220" s="4" t="s">
        <v>3887</v>
      </c>
      <c r="E220" s="4" t="s">
        <v>3877</v>
      </c>
      <c r="F220" s="9" t="s">
        <v>3870</v>
      </c>
    </row>
    <row r="221" spans="1:6" ht="25.5" x14ac:dyDescent="0.3">
      <c r="A221" s="6" t="s">
        <v>48</v>
      </c>
      <c r="B221" s="6" t="s">
        <v>3442</v>
      </c>
      <c r="C221" s="4" t="s">
        <v>3888</v>
      </c>
      <c r="D221" s="4" t="s">
        <v>3889</v>
      </c>
      <c r="E221" s="4" t="s">
        <v>3890</v>
      </c>
      <c r="F221" s="9" t="s">
        <v>3891</v>
      </c>
    </row>
    <row r="222" spans="1:6" ht="25.5" x14ac:dyDescent="0.3">
      <c r="A222" s="6" t="s">
        <v>48</v>
      </c>
      <c r="B222" s="6" t="s">
        <v>3442</v>
      </c>
      <c r="C222" s="4" t="s">
        <v>3892</v>
      </c>
      <c r="D222" s="4" t="s">
        <v>3893</v>
      </c>
      <c r="E222" s="4" t="s">
        <v>3894</v>
      </c>
      <c r="F222" s="9" t="s">
        <v>3895</v>
      </c>
    </row>
    <row r="223" spans="1:6" ht="25.5" x14ac:dyDescent="0.3">
      <c r="A223" s="6" t="s">
        <v>48</v>
      </c>
      <c r="B223" s="6" t="s">
        <v>3442</v>
      </c>
      <c r="C223" s="4" t="s">
        <v>3896</v>
      </c>
      <c r="D223" s="4" t="s">
        <v>3897</v>
      </c>
      <c r="E223" s="4" t="s">
        <v>3877</v>
      </c>
      <c r="F223" s="9" t="s">
        <v>3882</v>
      </c>
    </row>
    <row r="224" spans="1:6" ht="25.5" x14ac:dyDescent="0.3">
      <c r="A224" s="6" t="s">
        <v>48</v>
      </c>
      <c r="B224" s="6" t="s">
        <v>3442</v>
      </c>
      <c r="C224" s="4" t="s">
        <v>3898</v>
      </c>
      <c r="D224" s="4" t="s">
        <v>3899</v>
      </c>
      <c r="E224" s="4" t="s">
        <v>3900</v>
      </c>
      <c r="F224" s="9" t="s">
        <v>3901</v>
      </c>
    </row>
    <row r="225" spans="1:6" ht="25.5" x14ac:dyDescent="0.3">
      <c r="A225" s="6" t="s">
        <v>49</v>
      </c>
      <c r="B225" s="6" t="s">
        <v>3442</v>
      </c>
      <c r="C225" s="4" t="s">
        <v>3902</v>
      </c>
      <c r="D225" s="4" t="s">
        <v>3903</v>
      </c>
      <c r="E225" s="4" t="s">
        <v>3904</v>
      </c>
      <c r="F225" s="9" t="s">
        <v>3905</v>
      </c>
    </row>
    <row r="226" spans="1:6" ht="25.5" x14ac:dyDescent="0.3">
      <c r="A226" s="6" t="s">
        <v>49</v>
      </c>
      <c r="B226" s="6" t="s">
        <v>3442</v>
      </c>
      <c r="C226" s="4" t="s">
        <v>3906</v>
      </c>
      <c r="D226" s="4" t="s">
        <v>3907</v>
      </c>
      <c r="E226" s="4" t="s">
        <v>3908</v>
      </c>
      <c r="F226" s="9" t="s">
        <v>3326</v>
      </c>
    </row>
    <row r="227" spans="1:6" ht="25.5" x14ac:dyDescent="0.3">
      <c r="A227" s="6" t="s">
        <v>49</v>
      </c>
      <c r="B227" s="6" t="s">
        <v>3442</v>
      </c>
      <c r="C227" s="4" t="s">
        <v>3909</v>
      </c>
      <c r="D227" s="4" t="s">
        <v>3910</v>
      </c>
      <c r="E227" s="4" t="s">
        <v>3911</v>
      </c>
      <c r="F227" s="9" t="s">
        <v>3912</v>
      </c>
    </row>
    <row r="228" spans="1:6" ht="38.25" x14ac:dyDescent="0.3">
      <c r="A228" s="6" t="s">
        <v>49</v>
      </c>
      <c r="B228" s="6" t="s">
        <v>3442</v>
      </c>
      <c r="C228" s="4" t="s">
        <v>3913</v>
      </c>
      <c r="D228" s="4" t="s">
        <v>3914</v>
      </c>
      <c r="E228" s="4" t="s">
        <v>3915</v>
      </c>
      <c r="F228" s="9" t="s">
        <v>3916</v>
      </c>
    </row>
    <row r="229" spans="1:6" ht="38.25" x14ac:dyDescent="0.3">
      <c r="A229" s="6" t="s">
        <v>49</v>
      </c>
      <c r="B229" s="6" t="s">
        <v>3442</v>
      </c>
      <c r="C229" s="4" t="s">
        <v>3917</v>
      </c>
      <c r="D229" s="4" t="s">
        <v>3918</v>
      </c>
      <c r="E229" s="4" t="s">
        <v>3919</v>
      </c>
      <c r="F229" s="9" t="s">
        <v>3920</v>
      </c>
    </row>
    <row r="230" spans="1:6" ht="38.25" x14ac:dyDescent="0.3">
      <c r="A230" s="6" t="s">
        <v>49</v>
      </c>
      <c r="B230" s="6" t="s">
        <v>3442</v>
      </c>
      <c r="C230" s="4" t="s">
        <v>3921</v>
      </c>
      <c r="D230" s="4" t="s">
        <v>3922</v>
      </c>
      <c r="E230" s="4" t="s">
        <v>3923</v>
      </c>
      <c r="F230" s="9" t="s">
        <v>3920</v>
      </c>
    </row>
    <row r="231" spans="1:6" ht="38.25" x14ac:dyDescent="0.3">
      <c r="A231" s="6" t="s">
        <v>49</v>
      </c>
      <c r="B231" s="6" t="s">
        <v>3442</v>
      </c>
      <c r="C231" s="4" t="s">
        <v>3924</v>
      </c>
      <c r="D231" s="4" t="s">
        <v>3925</v>
      </c>
      <c r="E231" s="4" t="s">
        <v>3877</v>
      </c>
      <c r="F231" s="9" t="s">
        <v>3926</v>
      </c>
    </row>
    <row r="232" spans="1:6" ht="38.25" x14ac:dyDescent="0.3">
      <c r="A232" s="6" t="s">
        <v>49</v>
      </c>
      <c r="B232" s="6" t="s">
        <v>3442</v>
      </c>
      <c r="C232" s="4" t="s">
        <v>3927</v>
      </c>
      <c r="D232" s="4" t="s">
        <v>3928</v>
      </c>
      <c r="E232" s="4" t="s">
        <v>3929</v>
      </c>
      <c r="F232" s="9" t="s">
        <v>3930</v>
      </c>
    </row>
    <row r="233" spans="1:6" ht="38.25" x14ac:dyDescent="0.3">
      <c r="A233" s="6" t="s">
        <v>49</v>
      </c>
      <c r="B233" s="6" t="s">
        <v>3442</v>
      </c>
      <c r="C233" s="4" t="s">
        <v>3931</v>
      </c>
      <c r="D233" s="4" t="s">
        <v>3932</v>
      </c>
      <c r="E233" s="4" t="s">
        <v>3933</v>
      </c>
      <c r="F233" s="9" t="s">
        <v>3934</v>
      </c>
    </row>
    <row r="234" spans="1:6" ht="36" x14ac:dyDescent="0.3">
      <c r="A234" s="6" t="s">
        <v>49</v>
      </c>
      <c r="B234" s="6" t="s">
        <v>3442</v>
      </c>
      <c r="C234" s="4" t="s">
        <v>3935</v>
      </c>
      <c r="D234" s="4" t="s">
        <v>3936</v>
      </c>
      <c r="E234" s="4" t="s">
        <v>3937</v>
      </c>
      <c r="F234" s="9" t="s">
        <v>3934</v>
      </c>
    </row>
    <row r="235" spans="1:6" ht="38.25" x14ac:dyDescent="0.3">
      <c r="A235" s="6" t="s">
        <v>49</v>
      </c>
      <c r="B235" s="6" t="s">
        <v>3442</v>
      </c>
      <c r="C235" s="4" t="s">
        <v>3938</v>
      </c>
      <c r="D235" s="4" t="s">
        <v>3939</v>
      </c>
      <c r="E235" s="4" t="s">
        <v>3940</v>
      </c>
      <c r="F235" s="9" t="s">
        <v>3941</v>
      </c>
    </row>
    <row r="236" spans="1:6" ht="38.25" x14ac:dyDescent="0.3">
      <c r="A236" s="6" t="s">
        <v>49</v>
      </c>
      <c r="B236" s="6" t="s">
        <v>3442</v>
      </c>
      <c r="C236" s="4" t="s">
        <v>3942</v>
      </c>
      <c r="D236" s="4" t="s">
        <v>3943</v>
      </c>
      <c r="E236" s="4" t="s">
        <v>3944</v>
      </c>
      <c r="F236" s="9" t="s">
        <v>3945</v>
      </c>
    </row>
    <row r="237" spans="1:6" ht="38.25" x14ac:dyDescent="0.3">
      <c r="A237" s="6" t="s">
        <v>49</v>
      </c>
      <c r="B237" s="6" t="s">
        <v>3442</v>
      </c>
      <c r="C237" s="4" t="s">
        <v>3946</v>
      </c>
      <c r="D237" s="4" t="s">
        <v>3947</v>
      </c>
      <c r="E237" s="4" t="s">
        <v>3948</v>
      </c>
      <c r="F237" s="9" t="s">
        <v>3949</v>
      </c>
    </row>
    <row r="238" spans="1:6" ht="38.25" x14ac:dyDescent="0.3">
      <c r="A238" s="6" t="s">
        <v>49</v>
      </c>
      <c r="B238" s="6" t="s">
        <v>3442</v>
      </c>
      <c r="C238" s="4" t="s">
        <v>3950</v>
      </c>
      <c r="D238" s="4" t="s">
        <v>3951</v>
      </c>
      <c r="E238" s="4" t="s">
        <v>3952</v>
      </c>
      <c r="F238" s="9" t="s">
        <v>3953</v>
      </c>
    </row>
    <row r="239" spans="1:6" ht="38.25" x14ac:dyDescent="0.3">
      <c r="A239" s="6" t="s">
        <v>49</v>
      </c>
      <c r="B239" s="6" t="s">
        <v>3442</v>
      </c>
      <c r="C239" s="4" t="s">
        <v>3954</v>
      </c>
      <c r="D239" s="4" t="s">
        <v>3955</v>
      </c>
      <c r="E239" s="4" t="s">
        <v>3956</v>
      </c>
      <c r="F239" s="9" t="s">
        <v>3957</v>
      </c>
    </row>
    <row r="240" spans="1:6" ht="38.25" x14ac:dyDescent="0.3">
      <c r="A240" s="6" t="s">
        <v>49</v>
      </c>
      <c r="B240" s="6" t="s">
        <v>3442</v>
      </c>
      <c r="C240" s="4" t="s">
        <v>3958</v>
      </c>
      <c r="D240" s="4" t="s">
        <v>3959</v>
      </c>
      <c r="E240" s="4" t="s">
        <v>3960</v>
      </c>
      <c r="F240" s="9" t="s">
        <v>3934</v>
      </c>
    </row>
    <row r="241" spans="1:6" ht="38.25" x14ac:dyDescent="0.3">
      <c r="A241" s="6" t="s">
        <v>49</v>
      </c>
      <c r="B241" s="6" t="s">
        <v>3442</v>
      </c>
      <c r="C241" s="4" t="s">
        <v>3961</v>
      </c>
      <c r="D241" s="4" t="s">
        <v>3962</v>
      </c>
      <c r="E241" s="4" t="s">
        <v>3963</v>
      </c>
      <c r="F241" s="9" t="s">
        <v>3964</v>
      </c>
    </row>
    <row r="242" spans="1:6" ht="51" x14ac:dyDescent="0.3">
      <c r="A242" s="6" t="s">
        <v>49</v>
      </c>
      <c r="B242" s="6" t="s">
        <v>3442</v>
      </c>
      <c r="C242" s="4" t="s">
        <v>3965</v>
      </c>
      <c r="D242" s="4" t="s">
        <v>3966</v>
      </c>
      <c r="E242" s="4" t="s">
        <v>3967</v>
      </c>
      <c r="F242" s="9" t="s">
        <v>3968</v>
      </c>
    </row>
    <row r="243" spans="1:6" ht="51" x14ac:dyDescent="0.3">
      <c r="A243" s="6" t="s">
        <v>49</v>
      </c>
      <c r="B243" s="6" t="s">
        <v>3442</v>
      </c>
      <c r="C243" s="4" t="s">
        <v>3969</v>
      </c>
      <c r="D243" s="4" t="s">
        <v>3970</v>
      </c>
      <c r="E243" s="4" t="s">
        <v>3971</v>
      </c>
      <c r="F243" s="9" t="s">
        <v>3957</v>
      </c>
    </row>
    <row r="244" spans="1:6" ht="51" x14ac:dyDescent="0.3">
      <c r="A244" s="6" t="s">
        <v>49</v>
      </c>
      <c r="B244" s="6" t="s">
        <v>3442</v>
      </c>
      <c r="C244" s="4" t="s">
        <v>3972</v>
      </c>
      <c r="D244" s="4" t="s">
        <v>3973</v>
      </c>
      <c r="E244" s="4" t="s">
        <v>3974</v>
      </c>
      <c r="F244" s="9" t="s">
        <v>3941</v>
      </c>
    </row>
    <row r="245" spans="1:6" ht="51" x14ac:dyDescent="0.3">
      <c r="A245" s="6" t="s">
        <v>49</v>
      </c>
      <c r="B245" s="6" t="s">
        <v>3442</v>
      </c>
      <c r="C245" s="4" t="s">
        <v>3975</v>
      </c>
      <c r="D245" s="4" t="s">
        <v>3976</v>
      </c>
      <c r="E245" s="4" t="s">
        <v>3977</v>
      </c>
      <c r="F245" s="9" t="s">
        <v>3945</v>
      </c>
    </row>
    <row r="246" spans="1:6" ht="38.25" x14ac:dyDescent="0.3">
      <c r="A246" s="6" t="s">
        <v>1396</v>
      </c>
      <c r="B246" s="6" t="s">
        <v>3442</v>
      </c>
      <c r="C246" s="4" t="s">
        <v>3978</v>
      </c>
      <c r="D246" s="4" t="s">
        <v>3979</v>
      </c>
      <c r="E246" s="4" t="s">
        <v>3980</v>
      </c>
      <c r="F246" s="9" t="s">
        <v>3981</v>
      </c>
    </row>
    <row r="247" spans="1:6" ht="38.25" x14ac:dyDescent="0.3">
      <c r="A247" s="6" t="s">
        <v>1396</v>
      </c>
      <c r="B247" s="6" t="s">
        <v>3442</v>
      </c>
      <c r="C247" s="4" t="s">
        <v>3982</v>
      </c>
      <c r="D247" s="4" t="s">
        <v>3983</v>
      </c>
      <c r="E247" s="4" t="s">
        <v>3984</v>
      </c>
      <c r="F247" s="9" t="s">
        <v>3981</v>
      </c>
    </row>
    <row r="248" spans="1:6" ht="38.25" x14ac:dyDescent="0.3">
      <c r="A248" s="6" t="s">
        <v>1396</v>
      </c>
      <c r="B248" s="6" t="s">
        <v>3442</v>
      </c>
      <c r="C248" s="4" t="s">
        <v>3985</v>
      </c>
      <c r="D248" s="4" t="s">
        <v>3986</v>
      </c>
      <c r="E248" s="4" t="s">
        <v>3987</v>
      </c>
      <c r="F248" s="9" t="s">
        <v>3988</v>
      </c>
    </row>
    <row r="249" spans="1:6" ht="25.5" x14ac:dyDescent="0.3">
      <c r="A249" s="6" t="s">
        <v>1396</v>
      </c>
      <c r="B249" s="6" t="s">
        <v>3442</v>
      </c>
      <c r="C249" s="4" t="s">
        <v>3989</v>
      </c>
      <c r="D249" s="4" t="s">
        <v>3990</v>
      </c>
      <c r="E249" s="4" t="s">
        <v>3991</v>
      </c>
      <c r="F249" s="9" t="s">
        <v>3988</v>
      </c>
    </row>
    <row r="250" spans="1:6" ht="38.25" x14ac:dyDescent="0.3">
      <c r="A250" s="6" t="s">
        <v>1396</v>
      </c>
      <c r="B250" s="6" t="s">
        <v>3442</v>
      </c>
      <c r="C250" s="4" t="s">
        <v>3992</v>
      </c>
      <c r="D250" s="4" t="s">
        <v>3993</v>
      </c>
      <c r="E250" s="4" t="s">
        <v>3994</v>
      </c>
      <c r="F250" s="9" t="s">
        <v>3995</v>
      </c>
    </row>
    <row r="251" spans="1:6" ht="38.25" x14ac:dyDescent="0.3">
      <c r="A251" s="6" t="s">
        <v>1396</v>
      </c>
      <c r="B251" s="6" t="s">
        <v>3442</v>
      </c>
      <c r="C251" s="4" t="s">
        <v>3996</v>
      </c>
      <c r="D251" s="4" t="s">
        <v>3997</v>
      </c>
      <c r="E251" s="4" t="s">
        <v>3998</v>
      </c>
      <c r="F251" s="9" t="s">
        <v>3995</v>
      </c>
    </row>
    <row r="252" spans="1:6" ht="51" x14ac:dyDescent="0.3">
      <c r="A252" s="6" t="s">
        <v>1396</v>
      </c>
      <c r="B252" s="6" t="s">
        <v>3442</v>
      </c>
      <c r="C252" s="4" t="s">
        <v>3999</v>
      </c>
      <c r="D252" s="4" t="s">
        <v>3986</v>
      </c>
      <c r="E252" s="4" t="s">
        <v>4000</v>
      </c>
      <c r="F252" s="9" t="s">
        <v>3139</v>
      </c>
    </row>
    <row r="253" spans="1:6" ht="25.5" x14ac:dyDescent="0.3">
      <c r="A253" s="6" t="s">
        <v>1396</v>
      </c>
      <c r="B253" s="6" t="s">
        <v>3442</v>
      </c>
      <c r="C253" s="4" t="s">
        <v>4001</v>
      </c>
      <c r="D253" s="4" t="s">
        <v>3986</v>
      </c>
      <c r="E253" s="4" t="s">
        <v>4002</v>
      </c>
      <c r="F253" s="9" t="s">
        <v>4003</v>
      </c>
    </row>
    <row r="254" spans="1:6" ht="38.25" x14ac:dyDescent="0.3">
      <c r="A254" s="6" t="s">
        <v>1396</v>
      </c>
      <c r="B254" s="6" t="s">
        <v>3442</v>
      </c>
      <c r="C254" s="4" t="s">
        <v>4004</v>
      </c>
      <c r="D254" s="4" t="s">
        <v>3986</v>
      </c>
      <c r="E254" s="4" t="s">
        <v>4005</v>
      </c>
      <c r="F254" s="9" t="s">
        <v>4006</v>
      </c>
    </row>
    <row r="255" spans="1:6" ht="38.25" x14ac:dyDescent="0.3">
      <c r="A255" s="6" t="s">
        <v>1396</v>
      </c>
      <c r="B255" s="6" t="s">
        <v>3442</v>
      </c>
      <c r="C255" s="4" t="s">
        <v>4007</v>
      </c>
      <c r="D255" s="4" t="s">
        <v>4008</v>
      </c>
      <c r="E255" s="4" t="s">
        <v>4009</v>
      </c>
      <c r="F255" s="9" t="s">
        <v>4010</v>
      </c>
    </row>
    <row r="256" spans="1:6" ht="36" x14ac:dyDescent="0.3">
      <c r="A256" s="6" t="s">
        <v>1396</v>
      </c>
      <c r="B256" s="6" t="s">
        <v>3442</v>
      </c>
      <c r="C256" s="4" t="s">
        <v>4011</v>
      </c>
      <c r="D256" s="4" t="s">
        <v>4012</v>
      </c>
      <c r="E256" s="4" t="s">
        <v>4013</v>
      </c>
      <c r="F256" s="9" t="s">
        <v>3468</v>
      </c>
    </row>
    <row r="257" spans="1:6" ht="25.5" x14ac:dyDescent="0.3">
      <c r="A257" s="6" t="s">
        <v>1396</v>
      </c>
      <c r="B257" s="6" t="s">
        <v>3442</v>
      </c>
      <c r="C257" s="4" t="s">
        <v>4014</v>
      </c>
      <c r="D257" s="4" t="s">
        <v>4015</v>
      </c>
      <c r="E257" s="4" t="s">
        <v>4016</v>
      </c>
      <c r="F257" s="9" t="s">
        <v>3572</v>
      </c>
    </row>
    <row r="258" spans="1:6" ht="51" x14ac:dyDescent="0.3">
      <c r="A258" s="6" t="s">
        <v>1396</v>
      </c>
      <c r="B258" s="6" t="s">
        <v>3442</v>
      </c>
      <c r="C258" s="4" t="s">
        <v>4017</v>
      </c>
      <c r="D258" s="4" t="s">
        <v>3986</v>
      </c>
      <c r="E258" s="4" t="s">
        <v>4018</v>
      </c>
      <c r="F258" s="9" t="s">
        <v>4019</v>
      </c>
    </row>
    <row r="259" spans="1:6" ht="51" x14ac:dyDescent="0.3">
      <c r="A259" s="6" t="s">
        <v>1396</v>
      </c>
      <c r="B259" s="6" t="s">
        <v>3442</v>
      </c>
      <c r="C259" s="4" t="s">
        <v>4020</v>
      </c>
      <c r="D259" s="4" t="s">
        <v>4021</v>
      </c>
      <c r="E259" s="4" t="s">
        <v>4022</v>
      </c>
      <c r="F259" s="9" t="s">
        <v>4023</v>
      </c>
    </row>
    <row r="260" spans="1:6" ht="38.25" x14ac:dyDescent="0.3">
      <c r="A260" s="6" t="s">
        <v>1396</v>
      </c>
      <c r="B260" s="6" t="s">
        <v>3442</v>
      </c>
      <c r="C260" s="4" t="s">
        <v>4024</v>
      </c>
      <c r="D260" s="4" t="s">
        <v>4025</v>
      </c>
      <c r="E260" s="4" t="s">
        <v>4026</v>
      </c>
      <c r="F260" s="9" t="s">
        <v>4027</v>
      </c>
    </row>
    <row r="261" spans="1:6" ht="51" x14ac:dyDescent="0.3">
      <c r="A261" s="6" t="s">
        <v>1396</v>
      </c>
      <c r="B261" s="6" t="s">
        <v>3442</v>
      </c>
      <c r="C261" s="4" t="s">
        <v>4028</v>
      </c>
      <c r="D261" s="4" t="s">
        <v>4029</v>
      </c>
      <c r="E261" s="4" t="s">
        <v>4030</v>
      </c>
      <c r="F261" s="9" t="s">
        <v>4031</v>
      </c>
    </row>
    <row r="262" spans="1:6" ht="38.25" x14ac:dyDescent="0.3">
      <c r="A262" s="6" t="s">
        <v>1396</v>
      </c>
      <c r="B262" s="6" t="s">
        <v>3442</v>
      </c>
      <c r="C262" s="4" t="s">
        <v>4032</v>
      </c>
      <c r="D262" s="4" t="s">
        <v>3986</v>
      </c>
      <c r="E262" s="4" t="s">
        <v>4033</v>
      </c>
      <c r="F262" s="9" t="s">
        <v>4034</v>
      </c>
    </row>
    <row r="263" spans="1:6" ht="38.25" x14ac:dyDescent="0.3">
      <c r="A263" s="6" t="s">
        <v>1396</v>
      </c>
      <c r="B263" s="6" t="s">
        <v>3442</v>
      </c>
      <c r="C263" s="4" t="s">
        <v>4035</v>
      </c>
      <c r="D263" s="4" t="s">
        <v>3986</v>
      </c>
      <c r="E263" s="4" t="s">
        <v>4036</v>
      </c>
      <c r="F263" s="9" t="s">
        <v>3605</v>
      </c>
    </row>
    <row r="264" spans="1:6" ht="38.25" x14ac:dyDescent="0.3">
      <c r="A264" s="6" t="s">
        <v>1396</v>
      </c>
      <c r="B264" s="6" t="s">
        <v>3442</v>
      </c>
      <c r="C264" s="4" t="s">
        <v>4037</v>
      </c>
      <c r="D264" s="4" t="s">
        <v>3986</v>
      </c>
      <c r="E264" s="4" t="s">
        <v>4038</v>
      </c>
      <c r="F264" s="9" t="s">
        <v>3575</v>
      </c>
    </row>
    <row r="265" spans="1:6" ht="38.25" x14ac:dyDescent="0.3">
      <c r="A265" s="6" t="s">
        <v>1396</v>
      </c>
      <c r="B265" s="6" t="s">
        <v>3442</v>
      </c>
      <c r="C265" s="4" t="s">
        <v>4039</v>
      </c>
      <c r="D265" s="4" t="s">
        <v>3986</v>
      </c>
      <c r="E265" s="4" t="s">
        <v>4040</v>
      </c>
      <c r="F265" s="9" t="s">
        <v>4019</v>
      </c>
    </row>
    <row r="266" spans="1:6" ht="38.25" x14ac:dyDescent="0.3">
      <c r="A266" s="6" t="s">
        <v>1396</v>
      </c>
      <c r="B266" s="6" t="s">
        <v>3442</v>
      </c>
      <c r="C266" s="4" t="s">
        <v>4041</v>
      </c>
      <c r="D266" s="4" t="s">
        <v>4042</v>
      </c>
      <c r="E266" s="4" t="s">
        <v>4043</v>
      </c>
      <c r="F266" s="9" t="s">
        <v>3995</v>
      </c>
    </row>
    <row r="267" spans="1:6" ht="38.25" x14ac:dyDescent="0.3">
      <c r="A267" s="6" t="s">
        <v>1396</v>
      </c>
      <c r="B267" s="6" t="s">
        <v>3442</v>
      </c>
      <c r="C267" s="4" t="s">
        <v>4044</v>
      </c>
      <c r="D267" s="4" t="s">
        <v>3986</v>
      </c>
      <c r="E267" s="4" t="s">
        <v>4045</v>
      </c>
      <c r="F267" s="9" t="s">
        <v>4046</v>
      </c>
    </row>
    <row r="268" spans="1:6" ht="25.5" x14ac:dyDescent="0.3">
      <c r="A268" s="6" t="s">
        <v>1396</v>
      </c>
      <c r="B268" s="6" t="s">
        <v>3442</v>
      </c>
      <c r="C268" s="4" t="s">
        <v>4047</v>
      </c>
      <c r="D268" s="4" t="s">
        <v>4048</v>
      </c>
      <c r="E268" s="4" t="s">
        <v>4049</v>
      </c>
      <c r="F268" s="9" t="s">
        <v>3988</v>
      </c>
    </row>
    <row r="269" spans="1:6" ht="36" x14ac:dyDescent="0.3">
      <c r="A269" s="6" t="s">
        <v>1396</v>
      </c>
      <c r="B269" s="6" t="s">
        <v>3442</v>
      </c>
      <c r="C269" s="4" t="s">
        <v>4050</v>
      </c>
      <c r="D269" s="4" t="s">
        <v>3986</v>
      </c>
      <c r="E269" s="4" t="s">
        <v>4051</v>
      </c>
      <c r="F269" s="9" t="s">
        <v>4052</v>
      </c>
    </row>
    <row r="270" spans="1:6" ht="38.25" x14ac:dyDescent="0.3">
      <c r="A270" s="6" t="s">
        <v>1396</v>
      </c>
      <c r="B270" s="6" t="s">
        <v>3442</v>
      </c>
      <c r="C270" s="4" t="s">
        <v>4053</v>
      </c>
      <c r="D270" s="4" t="s">
        <v>4054</v>
      </c>
      <c r="E270" s="4" t="s">
        <v>4055</v>
      </c>
      <c r="F270" s="9" t="s">
        <v>4056</v>
      </c>
    </row>
    <row r="271" spans="1:6" ht="25.5" x14ac:dyDescent="0.3">
      <c r="A271" s="6" t="s">
        <v>1431</v>
      </c>
      <c r="B271" s="6" t="s">
        <v>3442</v>
      </c>
      <c r="C271" s="4" t="s">
        <v>4057</v>
      </c>
      <c r="D271" s="4" t="s">
        <v>3986</v>
      </c>
      <c r="E271" s="4" t="s">
        <v>4058</v>
      </c>
      <c r="F271" s="9" t="s">
        <v>4059</v>
      </c>
    </row>
    <row r="272" spans="1:6" ht="38.25" x14ac:dyDescent="0.3">
      <c r="A272" s="6" t="s">
        <v>1431</v>
      </c>
      <c r="B272" s="6" t="s">
        <v>3442</v>
      </c>
      <c r="C272" s="4" t="s">
        <v>4060</v>
      </c>
      <c r="D272" s="4" t="s">
        <v>4061</v>
      </c>
      <c r="E272" s="4" t="s">
        <v>4062</v>
      </c>
      <c r="F272" s="9" t="s">
        <v>4063</v>
      </c>
    </row>
    <row r="273" spans="1:6" ht="38.25" x14ac:dyDescent="0.3">
      <c r="A273" s="6" t="s">
        <v>1431</v>
      </c>
      <c r="B273" s="6" t="s">
        <v>3442</v>
      </c>
      <c r="C273" s="4" t="s">
        <v>4064</v>
      </c>
      <c r="D273" s="4" t="s">
        <v>4065</v>
      </c>
      <c r="E273" s="4" t="s">
        <v>4066</v>
      </c>
      <c r="F273" s="9" t="s">
        <v>4067</v>
      </c>
    </row>
    <row r="274" spans="1:6" ht="25.5" x14ac:dyDescent="0.3">
      <c r="A274" s="6" t="s">
        <v>1431</v>
      </c>
      <c r="B274" s="6" t="s">
        <v>3442</v>
      </c>
      <c r="C274" s="4" t="s">
        <v>4068</v>
      </c>
      <c r="D274" s="4" t="s">
        <v>4069</v>
      </c>
      <c r="E274" s="4" t="s">
        <v>4070</v>
      </c>
      <c r="F274" s="9" t="s">
        <v>4071</v>
      </c>
    </row>
    <row r="275" spans="1:6" ht="25.5" x14ac:dyDescent="0.3">
      <c r="A275" s="6" t="s">
        <v>1431</v>
      </c>
      <c r="B275" s="6" t="s">
        <v>3442</v>
      </c>
      <c r="C275" s="4" t="s">
        <v>4072</v>
      </c>
      <c r="D275" s="4" t="s">
        <v>4073</v>
      </c>
      <c r="E275" s="4" t="s">
        <v>4074</v>
      </c>
      <c r="F275" s="9" t="s">
        <v>4075</v>
      </c>
    </row>
    <row r="276" spans="1:6" ht="25.5" x14ac:dyDescent="0.3">
      <c r="A276" s="6" t="s">
        <v>1431</v>
      </c>
      <c r="B276" s="6" t="s">
        <v>3442</v>
      </c>
      <c r="C276" s="4" t="s">
        <v>4076</v>
      </c>
      <c r="D276" s="4" t="s">
        <v>3986</v>
      </c>
      <c r="E276" s="4" t="s">
        <v>4077</v>
      </c>
      <c r="F276" s="9" t="s">
        <v>4078</v>
      </c>
    </row>
    <row r="277" spans="1:6" ht="38.25" x14ac:dyDescent="0.3">
      <c r="A277" s="6" t="s">
        <v>1431</v>
      </c>
      <c r="B277" s="6" t="s">
        <v>3442</v>
      </c>
      <c r="C277" s="4" t="s">
        <v>4079</v>
      </c>
      <c r="D277" s="4" t="s">
        <v>3986</v>
      </c>
      <c r="E277" s="4" t="s">
        <v>4080</v>
      </c>
      <c r="F277" s="9" t="s">
        <v>4081</v>
      </c>
    </row>
    <row r="278" spans="1:6" ht="25.5" x14ac:dyDescent="0.3">
      <c r="A278" s="6" t="s">
        <v>1431</v>
      </c>
      <c r="B278" s="6" t="s">
        <v>3442</v>
      </c>
      <c r="C278" s="4" t="s">
        <v>4082</v>
      </c>
      <c r="D278" s="4" t="s">
        <v>4083</v>
      </c>
      <c r="E278" s="4" t="s">
        <v>4084</v>
      </c>
      <c r="F278" s="9" t="s">
        <v>4085</v>
      </c>
    </row>
    <row r="279" spans="1:6" ht="25.5" x14ac:dyDescent="0.3">
      <c r="A279" s="6" t="s">
        <v>1431</v>
      </c>
      <c r="B279" s="6" t="s">
        <v>3442</v>
      </c>
      <c r="C279" s="4" t="s">
        <v>4086</v>
      </c>
      <c r="D279" s="4" t="s">
        <v>4087</v>
      </c>
      <c r="E279" s="4" t="s">
        <v>4088</v>
      </c>
      <c r="F279" s="9" t="s">
        <v>4089</v>
      </c>
    </row>
    <row r="280" spans="1:6" ht="25.5" x14ac:dyDescent="0.3">
      <c r="A280" s="6" t="s">
        <v>1431</v>
      </c>
      <c r="B280" s="6" t="s">
        <v>3442</v>
      </c>
      <c r="C280" s="4" t="s">
        <v>4090</v>
      </c>
      <c r="D280" s="4" t="s">
        <v>3986</v>
      </c>
      <c r="E280" s="4" t="s">
        <v>4091</v>
      </c>
      <c r="F280" s="9" t="s">
        <v>4092</v>
      </c>
    </row>
    <row r="281" spans="1:6" ht="38.25" x14ac:dyDescent="0.3">
      <c r="A281" s="6" t="s">
        <v>1431</v>
      </c>
      <c r="B281" s="6" t="s">
        <v>3442</v>
      </c>
      <c r="C281" s="4" t="s">
        <v>4093</v>
      </c>
      <c r="D281" s="4" t="s">
        <v>3986</v>
      </c>
      <c r="E281" s="4" t="s">
        <v>4094</v>
      </c>
      <c r="F281" s="9" t="s">
        <v>4095</v>
      </c>
    </row>
    <row r="282" spans="1:6" ht="36" x14ac:dyDescent="0.3">
      <c r="A282" s="6" t="s">
        <v>1431</v>
      </c>
      <c r="B282" s="6" t="s">
        <v>3442</v>
      </c>
      <c r="C282" s="4" t="s">
        <v>4096</v>
      </c>
      <c r="D282" s="4" t="s">
        <v>3986</v>
      </c>
      <c r="E282" s="4" t="s">
        <v>4097</v>
      </c>
      <c r="F282" s="9" t="s">
        <v>4098</v>
      </c>
    </row>
    <row r="283" spans="1:6" ht="36" x14ac:dyDescent="0.3">
      <c r="A283" s="6" t="s">
        <v>1431</v>
      </c>
      <c r="B283" s="6" t="s">
        <v>3442</v>
      </c>
      <c r="C283" s="4" t="s">
        <v>4099</v>
      </c>
      <c r="D283" s="4" t="s">
        <v>3986</v>
      </c>
      <c r="E283" s="4" t="s">
        <v>4100</v>
      </c>
      <c r="F283" s="9" t="s">
        <v>4101</v>
      </c>
    </row>
    <row r="284" spans="1:6" ht="25.5" x14ac:dyDescent="0.3">
      <c r="A284" s="6" t="s">
        <v>1431</v>
      </c>
      <c r="B284" s="6" t="s">
        <v>3442</v>
      </c>
      <c r="C284" s="4" t="s">
        <v>4102</v>
      </c>
      <c r="D284" s="4" t="s">
        <v>4103</v>
      </c>
      <c r="E284" s="4" t="s">
        <v>4104</v>
      </c>
      <c r="F284" s="9" t="s">
        <v>4105</v>
      </c>
    </row>
    <row r="285" spans="1:6" ht="25.5" x14ac:dyDescent="0.3">
      <c r="A285" s="6" t="s">
        <v>1431</v>
      </c>
      <c r="B285" s="6" t="s">
        <v>3442</v>
      </c>
      <c r="C285" s="4" t="s">
        <v>4106</v>
      </c>
      <c r="D285" s="4" t="s">
        <v>4107</v>
      </c>
      <c r="E285" s="4" t="s">
        <v>4108</v>
      </c>
      <c r="F285" s="9" t="s">
        <v>3374</v>
      </c>
    </row>
    <row r="286" spans="1:6" ht="38.25" x14ac:dyDescent="0.3">
      <c r="A286" s="6" t="s">
        <v>1431</v>
      </c>
      <c r="B286" s="6" t="s">
        <v>3442</v>
      </c>
      <c r="C286" s="4" t="s">
        <v>4109</v>
      </c>
      <c r="D286" s="4" t="s">
        <v>4110</v>
      </c>
      <c r="E286" s="4" t="s">
        <v>4111</v>
      </c>
      <c r="F286" s="9" t="s">
        <v>4112</v>
      </c>
    </row>
    <row r="287" spans="1:6" ht="25.5" x14ac:dyDescent="0.3">
      <c r="A287" s="6" t="s">
        <v>1431</v>
      </c>
      <c r="B287" s="6" t="s">
        <v>3442</v>
      </c>
      <c r="C287" s="4" t="s">
        <v>4113</v>
      </c>
      <c r="D287" s="4" t="s">
        <v>4114</v>
      </c>
      <c r="E287" s="4" t="s">
        <v>4115</v>
      </c>
      <c r="F287" s="9" t="s">
        <v>4116</v>
      </c>
    </row>
    <row r="288" spans="1:6" ht="25.5" x14ac:dyDescent="0.3">
      <c r="A288" s="6" t="s">
        <v>1431</v>
      </c>
      <c r="B288" s="6" t="s">
        <v>3442</v>
      </c>
      <c r="C288" s="4" t="s">
        <v>4117</v>
      </c>
      <c r="D288" s="4" t="s">
        <v>4048</v>
      </c>
      <c r="E288" s="4" t="s">
        <v>4118</v>
      </c>
      <c r="F288" s="9" t="s">
        <v>4075</v>
      </c>
    </row>
    <row r="289" spans="1:6" ht="38.25" x14ac:dyDescent="0.3">
      <c r="A289" s="6" t="s">
        <v>1459</v>
      </c>
      <c r="B289" s="6" t="s">
        <v>3442</v>
      </c>
      <c r="C289" s="4" t="s">
        <v>4119</v>
      </c>
      <c r="D289" s="4" t="s">
        <v>4120</v>
      </c>
      <c r="E289" s="4" t="s">
        <v>4121</v>
      </c>
      <c r="F289" s="9" t="s">
        <v>4019</v>
      </c>
    </row>
    <row r="290" spans="1:6" ht="36" x14ac:dyDescent="0.3">
      <c r="A290" s="6" t="s">
        <v>1459</v>
      </c>
      <c r="B290" s="6" t="s">
        <v>3442</v>
      </c>
      <c r="C290" s="4" t="s">
        <v>4122</v>
      </c>
      <c r="D290" s="4" t="s">
        <v>4123</v>
      </c>
      <c r="E290" s="4" t="s">
        <v>4124</v>
      </c>
      <c r="F290" s="9" t="s">
        <v>4125</v>
      </c>
    </row>
    <row r="291" spans="1:6" ht="25.5" x14ac:dyDescent="0.3">
      <c r="A291" s="6" t="s">
        <v>1459</v>
      </c>
      <c r="B291" s="6" t="s">
        <v>3442</v>
      </c>
      <c r="C291" s="4" t="s">
        <v>4126</v>
      </c>
      <c r="D291" s="4" t="s">
        <v>4127</v>
      </c>
      <c r="E291" s="4" t="s">
        <v>4128</v>
      </c>
      <c r="F291" s="9" t="s">
        <v>3397</v>
      </c>
    </row>
    <row r="292" spans="1:6" ht="25.5" x14ac:dyDescent="0.3">
      <c r="A292" s="6" t="s">
        <v>1459</v>
      </c>
      <c r="B292" s="6" t="s">
        <v>3442</v>
      </c>
      <c r="C292" s="4" t="s">
        <v>4129</v>
      </c>
      <c r="D292" s="4" t="s">
        <v>4130</v>
      </c>
      <c r="E292" s="4" t="s">
        <v>4131</v>
      </c>
      <c r="F292" s="9" t="s">
        <v>4132</v>
      </c>
    </row>
    <row r="293" spans="1:6" ht="25.5" x14ac:dyDescent="0.3">
      <c r="A293" s="6" t="s">
        <v>1459</v>
      </c>
      <c r="B293" s="6" t="s">
        <v>3442</v>
      </c>
      <c r="C293" s="4" t="s">
        <v>4133</v>
      </c>
      <c r="D293" s="4" t="s">
        <v>4134</v>
      </c>
      <c r="E293" s="4" t="s">
        <v>4135</v>
      </c>
      <c r="F293" s="9" t="s">
        <v>4136</v>
      </c>
    </row>
    <row r="294" spans="1:6" ht="38.25" x14ac:dyDescent="0.3">
      <c r="A294" s="6" t="s">
        <v>1459</v>
      </c>
      <c r="B294" s="6" t="s">
        <v>3442</v>
      </c>
      <c r="C294" s="4" t="s">
        <v>4137</v>
      </c>
      <c r="D294" s="4" t="s">
        <v>4138</v>
      </c>
      <c r="E294" s="4" t="s">
        <v>4139</v>
      </c>
      <c r="F294" s="9" t="s">
        <v>3981</v>
      </c>
    </row>
    <row r="295" spans="1:6" ht="25.5" x14ac:dyDescent="0.3">
      <c r="A295" s="6" t="s">
        <v>1459</v>
      </c>
      <c r="B295" s="6" t="s">
        <v>3442</v>
      </c>
      <c r="C295" s="4" t="s">
        <v>4140</v>
      </c>
      <c r="D295" s="4" t="s">
        <v>4141</v>
      </c>
      <c r="E295" s="4" t="s">
        <v>4142</v>
      </c>
      <c r="F295" s="9" t="s">
        <v>4143</v>
      </c>
    </row>
    <row r="296" spans="1:6" ht="38.25" x14ac:dyDescent="0.3">
      <c r="A296" s="6" t="s">
        <v>1459</v>
      </c>
      <c r="B296" s="6" t="s">
        <v>3442</v>
      </c>
      <c r="C296" s="4" t="s">
        <v>4144</v>
      </c>
      <c r="D296" s="4" t="s">
        <v>4145</v>
      </c>
      <c r="E296" s="4" t="s">
        <v>4146</v>
      </c>
      <c r="F296" s="9" t="s">
        <v>4147</v>
      </c>
    </row>
    <row r="297" spans="1:6" ht="51" x14ac:dyDescent="0.3">
      <c r="A297" s="6" t="s">
        <v>1459</v>
      </c>
      <c r="B297" s="6" t="s">
        <v>3442</v>
      </c>
      <c r="C297" s="4" t="s">
        <v>4148</v>
      </c>
      <c r="D297" s="4" t="s">
        <v>3986</v>
      </c>
      <c r="E297" s="4" t="s">
        <v>4149</v>
      </c>
      <c r="F297" s="9" t="s">
        <v>4150</v>
      </c>
    </row>
    <row r="298" spans="1:6" ht="48" x14ac:dyDescent="0.3">
      <c r="A298" s="6" t="s">
        <v>1459</v>
      </c>
      <c r="B298" s="6" t="s">
        <v>3442</v>
      </c>
      <c r="C298" s="4" t="s">
        <v>4151</v>
      </c>
      <c r="D298" s="4" t="s">
        <v>4152</v>
      </c>
      <c r="E298" s="4" t="s">
        <v>4153</v>
      </c>
      <c r="F298" s="9" t="s">
        <v>4154</v>
      </c>
    </row>
    <row r="299" spans="1:6" ht="25.5" x14ac:dyDescent="0.3">
      <c r="A299" s="6" t="s">
        <v>1459</v>
      </c>
      <c r="B299" s="6" t="s">
        <v>3442</v>
      </c>
      <c r="C299" s="4" t="s">
        <v>4155</v>
      </c>
      <c r="D299" s="4" t="s">
        <v>4156</v>
      </c>
      <c r="E299" s="4" t="s">
        <v>4157</v>
      </c>
      <c r="F299" s="9" t="s">
        <v>3426</v>
      </c>
    </row>
    <row r="300" spans="1:6" ht="51" x14ac:dyDescent="0.3">
      <c r="A300" s="6" t="s">
        <v>1459</v>
      </c>
      <c r="B300" s="6" t="s">
        <v>3442</v>
      </c>
      <c r="C300" s="4" t="s">
        <v>4158</v>
      </c>
      <c r="D300" s="4" t="s">
        <v>4159</v>
      </c>
      <c r="E300" s="4" t="s">
        <v>4160</v>
      </c>
      <c r="F300" s="9" t="s">
        <v>4161</v>
      </c>
    </row>
    <row r="301" spans="1:6" ht="38.25" x14ac:dyDescent="0.3">
      <c r="A301" s="6" t="s">
        <v>1459</v>
      </c>
      <c r="B301" s="6" t="s">
        <v>3442</v>
      </c>
      <c r="C301" s="4" t="s">
        <v>4162</v>
      </c>
      <c r="D301" s="4" t="s">
        <v>4163</v>
      </c>
      <c r="E301" s="4" t="s">
        <v>4164</v>
      </c>
      <c r="F301" s="9" t="s">
        <v>4165</v>
      </c>
    </row>
    <row r="302" spans="1:6" ht="38.25" x14ac:dyDescent="0.3">
      <c r="A302" s="6" t="s">
        <v>1459</v>
      </c>
      <c r="B302" s="6" t="s">
        <v>3442</v>
      </c>
      <c r="C302" s="4" t="s">
        <v>4166</v>
      </c>
      <c r="D302" s="4" t="s">
        <v>4167</v>
      </c>
      <c r="E302" s="4" t="s">
        <v>4168</v>
      </c>
      <c r="F302" s="9" t="s">
        <v>4169</v>
      </c>
    </row>
    <row r="303" spans="1:6" ht="25.5" x14ac:dyDescent="0.3">
      <c r="A303" s="6" t="s">
        <v>1459</v>
      </c>
      <c r="B303" s="6" t="s">
        <v>3442</v>
      </c>
      <c r="C303" s="4" t="s">
        <v>4170</v>
      </c>
      <c r="D303" s="4" t="s">
        <v>3986</v>
      </c>
      <c r="E303" s="4" t="s">
        <v>4171</v>
      </c>
      <c r="F303" s="9" t="s">
        <v>4172</v>
      </c>
    </row>
    <row r="304" spans="1:6" ht="38.25" x14ac:dyDescent="0.3">
      <c r="A304" s="6" t="s">
        <v>1459</v>
      </c>
      <c r="B304" s="6" t="s">
        <v>3442</v>
      </c>
      <c r="C304" s="4" t="s">
        <v>4173</v>
      </c>
      <c r="D304" s="4" t="s">
        <v>4174</v>
      </c>
      <c r="E304" s="4" t="s">
        <v>4175</v>
      </c>
      <c r="F304" s="9" t="s">
        <v>3475</v>
      </c>
    </row>
    <row r="305" spans="1:6" ht="38.25" x14ac:dyDescent="0.3">
      <c r="A305" s="6" t="s">
        <v>1459</v>
      </c>
      <c r="B305" s="6" t="s">
        <v>3442</v>
      </c>
      <c r="C305" s="4" t="s">
        <v>4176</v>
      </c>
      <c r="D305" s="4" t="s">
        <v>3986</v>
      </c>
      <c r="E305" s="4" t="s">
        <v>4177</v>
      </c>
      <c r="F305" s="9" t="s">
        <v>4136</v>
      </c>
    </row>
    <row r="306" spans="1:6" ht="38.25" x14ac:dyDescent="0.3">
      <c r="A306" s="6" t="s">
        <v>1459</v>
      </c>
      <c r="B306" s="6" t="s">
        <v>3442</v>
      </c>
      <c r="C306" s="4" t="s">
        <v>4178</v>
      </c>
      <c r="D306" s="4" t="s">
        <v>3986</v>
      </c>
      <c r="E306" s="4" t="s">
        <v>4179</v>
      </c>
      <c r="F306" s="9" t="s">
        <v>4180</v>
      </c>
    </row>
    <row r="307" spans="1:6" ht="25.5" x14ac:dyDescent="0.3">
      <c r="A307" s="6" t="s">
        <v>1459</v>
      </c>
      <c r="B307" s="6" t="s">
        <v>3442</v>
      </c>
      <c r="C307" s="4" t="s">
        <v>4181</v>
      </c>
      <c r="D307" s="4" t="s">
        <v>4182</v>
      </c>
      <c r="E307" s="4" t="s">
        <v>4183</v>
      </c>
      <c r="F307" s="9" t="s">
        <v>3171</v>
      </c>
    </row>
    <row r="308" spans="1:6" ht="38.25" x14ac:dyDescent="0.3">
      <c r="A308" s="6" t="s">
        <v>1459</v>
      </c>
      <c r="B308" s="6" t="s">
        <v>3442</v>
      </c>
      <c r="C308" s="4" t="s">
        <v>4184</v>
      </c>
      <c r="D308" s="4" t="s">
        <v>3986</v>
      </c>
      <c r="E308" s="4" t="s">
        <v>4185</v>
      </c>
      <c r="F308" s="9" t="s">
        <v>3441</v>
      </c>
    </row>
    <row r="309" spans="1:6" ht="51" x14ac:dyDescent="0.3">
      <c r="A309" s="6" t="s">
        <v>1459</v>
      </c>
      <c r="B309" s="6" t="s">
        <v>3442</v>
      </c>
      <c r="C309" s="4" t="s">
        <v>4186</v>
      </c>
      <c r="D309" s="4" t="s">
        <v>4187</v>
      </c>
      <c r="E309" s="4" t="s">
        <v>4188</v>
      </c>
      <c r="F309" s="9" t="s">
        <v>4019</v>
      </c>
    </row>
    <row r="310" spans="1:6" ht="36" x14ac:dyDescent="0.3">
      <c r="A310" s="6" t="s">
        <v>1459</v>
      </c>
      <c r="B310" s="6" t="s">
        <v>3442</v>
      </c>
      <c r="C310" s="4" t="s">
        <v>4189</v>
      </c>
      <c r="D310" s="4" t="s">
        <v>3986</v>
      </c>
      <c r="E310" s="4" t="s">
        <v>4190</v>
      </c>
      <c r="F310" s="9" t="s">
        <v>4165</v>
      </c>
    </row>
    <row r="311" spans="1:6" ht="25.5" x14ac:dyDescent="0.3">
      <c r="A311" s="6" t="s">
        <v>1459</v>
      </c>
      <c r="B311" s="6" t="s">
        <v>3442</v>
      </c>
      <c r="C311" s="4" t="s">
        <v>4191</v>
      </c>
      <c r="D311" s="4" t="s">
        <v>3986</v>
      </c>
      <c r="E311" s="4" t="s">
        <v>4192</v>
      </c>
      <c r="F311" s="9" t="s">
        <v>4193</v>
      </c>
    </row>
    <row r="312" spans="1:6" ht="25.5" x14ac:dyDescent="0.3">
      <c r="A312" s="6" t="s">
        <v>1459</v>
      </c>
      <c r="B312" s="6" t="s">
        <v>3442</v>
      </c>
      <c r="C312" s="4" t="s">
        <v>4194</v>
      </c>
      <c r="D312" s="4" t="s">
        <v>4195</v>
      </c>
      <c r="E312" s="4" t="s">
        <v>4196</v>
      </c>
      <c r="F312" s="9" t="s">
        <v>4197</v>
      </c>
    </row>
    <row r="313" spans="1:6" ht="38.25" x14ac:dyDescent="0.3">
      <c r="A313" s="6" t="s">
        <v>1459</v>
      </c>
      <c r="B313" s="6" t="s">
        <v>3442</v>
      </c>
      <c r="C313" s="4" t="s">
        <v>4198</v>
      </c>
      <c r="D313" s="4" t="s">
        <v>4199</v>
      </c>
      <c r="E313" s="4" t="s">
        <v>4200</v>
      </c>
      <c r="F313" s="9" t="s">
        <v>4201</v>
      </c>
    </row>
    <row r="314" spans="1:6" ht="48" x14ac:dyDescent="0.3">
      <c r="A314" s="6" t="s">
        <v>1459</v>
      </c>
      <c r="B314" s="6" t="s">
        <v>3442</v>
      </c>
      <c r="C314" s="4" t="s">
        <v>4202</v>
      </c>
      <c r="D314" s="4" t="s">
        <v>3986</v>
      </c>
      <c r="E314" s="4" t="s">
        <v>4203</v>
      </c>
      <c r="F314" s="9" t="s">
        <v>4154</v>
      </c>
    </row>
    <row r="315" spans="1:6" ht="25.5" x14ac:dyDescent="0.3">
      <c r="A315" s="6" t="s">
        <v>1459</v>
      </c>
      <c r="B315" s="6" t="s">
        <v>3442</v>
      </c>
      <c r="C315" s="4" t="s">
        <v>4204</v>
      </c>
      <c r="D315" s="4" t="s">
        <v>4205</v>
      </c>
      <c r="E315" s="4" t="s">
        <v>4206</v>
      </c>
      <c r="F315" s="9" t="s">
        <v>4207</v>
      </c>
    </row>
    <row r="316" spans="1:6" ht="25.5" x14ac:dyDescent="0.3">
      <c r="A316" s="6" t="s">
        <v>1459</v>
      </c>
      <c r="B316" s="6" t="s">
        <v>3442</v>
      </c>
      <c r="C316" s="4" t="s">
        <v>4208</v>
      </c>
      <c r="D316" s="4" t="s">
        <v>4209</v>
      </c>
      <c r="E316" s="4" t="s">
        <v>4210</v>
      </c>
      <c r="F316" s="9" t="s">
        <v>4211</v>
      </c>
    </row>
    <row r="317" spans="1:6" ht="25.5" x14ac:dyDescent="0.3">
      <c r="A317" s="6" t="s">
        <v>1459</v>
      </c>
      <c r="B317" s="6" t="s">
        <v>3442</v>
      </c>
      <c r="C317" s="4" t="s">
        <v>4212</v>
      </c>
      <c r="D317" s="4" t="s">
        <v>4213</v>
      </c>
      <c r="E317" s="4" t="s">
        <v>4214</v>
      </c>
      <c r="F317" s="9" t="s">
        <v>4215</v>
      </c>
    </row>
    <row r="318" spans="1:6" ht="25.5" x14ac:dyDescent="0.3">
      <c r="A318" s="6" t="s">
        <v>1459</v>
      </c>
      <c r="B318" s="6" t="s">
        <v>3442</v>
      </c>
      <c r="C318" s="4" t="s">
        <v>4216</v>
      </c>
      <c r="D318" s="4" t="s">
        <v>4217</v>
      </c>
      <c r="E318" s="4" t="s">
        <v>4218</v>
      </c>
      <c r="F318" s="9" t="s">
        <v>4169</v>
      </c>
    </row>
    <row r="319" spans="1:6" ht="25.5" x14ac:dyDescent="0.3">
      <c r="A319" s="6" t="s">
        <v>1459</v>
      </c>
      <c r="B319" s="6" t="s">
        <v>3442</v>
      </c>
      <c r="C319" s="4" t="s">
        <v>4219</v>
      </c>
      <c r="D319" s="4" t="s">
        <v>4220</v>
      </c>
      <c r="E319" s="4" t="s">
        <v>4221</v>
      </c>
      <c r="F319" s="9" t="s">
        <v>4222</v>
      </c>
    </row>
    <row r="320" spans="1:6" ht="51" x14ac:dyDescent="0.3">
      <c r="A320" s="6" t="s">
        <v>1459</v>
      </c>
      <c r="B320" s="6" t="s">
        <v>3442</v>
      </c>
      <c r="C320" s="4" t="s">
        <v>4223</v>
      </c>
      <c r="D320" s="4" t="s">
        <v>4224</v>
      </c>
      <c r="E320" s="4" t="s">
        <v>4225</v>
      </c>
      <c r="F320" s="9" t="s">
        <v>4226</v>
      </c>
    </row>
  </sheetData>
  <autoFilter ref="A5:F320" xr:uid="{00000000-0009-0000-0000-00000C000000}"/>
  <mergeCells count="1">
    <mergeCell ref="A2:F2"/>
  </mergeCells>
  <phoneticPr fontId="8" type="noConversion"/>
  <hyperlinks>
    <hyperlink ref="F6" r:id="rId1" xr:uid="{00000000-0004-0000-0C00-000000000000}"/>
    <hyperlink ref="F7" r:id="rId2" xr:uid="{00000000-0004-0000-0C00-000001000000}"/>
    <hyperlink ref="F8" r:id="rId3" xr:uid="{00000000-0004-0000-0C00-000002000000}"/>
    <hyperlink ref="F9" r:id="rId4" xr:uid="{00000000-0004-0000-0C00-000003000000}"/>
    <hyperlink ref="F10" r:id="rId5" xr:uid="{00000000-0004-0000-0C00-000004000000}"/>
    <hyperlink ref="F11" r:id="rId6" xr:uid="{00000000-0004-0000-0C00-000005000000}"/>
    <hyperlink ref="F12" r:id="rId7" xr:uid="{00000000-0004-0000-0C00-000006000000}"/>
    <hyperlink ref="F13" r:id="rId8" xr:uid="{00000000-0004-0000-0C00-000007000000}"/>
    <hyperlink ref="F15" r:id="rId9" xr:uid="{00000000-0004-0000-0C00-000008000000}"/>
    <hyperlink ref="F16" r:id="rId10" xr:uid="{00000000-0004-0000-0C00-000009000000}"/>
    <hyperlink ref="F17" r:id="rId11" xr:uid="{00000000-0004-0000-0C00-00000A000000}"/>
    <hyperlink ref="F18" r:id="rId12" xr:uid="{00000000-0004-0000-0C00-00000B000000}"/>
    <hyperlink ref="F19" r:id="rId13" xr:uid="{00000000-0004-0000-0C00-00000C000000}"/>
    <hyperlink ref="F20" r:id="rId14" xr:uid="{00000000-0004-0000-0C00-00000D000000}"/>
    <hyperlink ref="F21" r:id="rId15" xr:uid="{00000000-0004-0000-0C00-00000E000000}"/>
    <hyperlink ref="F22" r:id="rId16" xr:uid="{00000000-0004-0000-0C00-00000F000000}"/>
    <hyperlink ref="F23" r:id="rId17" xr:uid="{00000000-0004-0000-0C00-000010000000}"/>
    <hyperlink ref="F24" r:id="rId18" xr:uid="{00000000-0004-0000-0C00-000011000000}"/>
    <hyperlink ref="F25" r:id="rId19" xr:uid="{00000000-0004-0000-0C00-000012000000}"/>
    <hyperlink ref="F26" r:id="rId20" xr:uid="{00000000-0004-0000-0C00-000013000000}"/>
    <hyperlink ref="F27" r:id="rId21" xr:uid="{00000000-0004-0000-0C00-000014000000}"/>
    <hyperlink ref="F28" r:id="rId22" xr:uid="{00000000-0004-0000-0C00-000015000000}"/>
    <hyperlink ref="F29" r:id="rId23" xr:uid="{00000000-0004-0000-0C00-000016000000}"/>
    <hyperlink ref="F30" r:id="rId24" xr:uid="{00000000-0004-0000-0C00-000017000000}"/>
    <hyperlink ref="F31" r:id="rId25" xr:uid="{00000000-0004-0000-0C00-000018000000}"/>
    <hyperlink ref="F32" r:id="rId26" xr:uid="{00000000-0004-0000-0C00-000019000000}"/>
    <hyperlink ref="F33" r:id="rId27" xr:uid="{00000000-0004-0000-0C00-00001A000000}"/>
    <hyperlink ref="F34" r:id="rId28" xr:uid="{00000000-0004-0000-0C00-00001B000000}"/>
    <hyperlink ref="F35" r:id="rId29" xr:uid="{00000000-0004-0000-0C00-00001C000000}"/>
    <hyperlink ref="F36" r:id="rId30" xr:uid="{00000000-0004-0000-0C00-00001D000000}"/>
    <hyperlink ref="F37" r:id="rId31" xr:uid="{00000000-0004-0000-0C00-00001E000000}"/>
    <hyperlink ref="F38" r:id="rId32" xr:uid="{00000000-0004-0000-0C00-00001F000000}"/>
    <hyperlink ref="F39" r:id="rId33" xr:uid="{00000000-0004-0000-0C00-000020000000}"/>
    <hyperlink ref="F40" r:id="rId34" xr:uid="{00000000-0004-0000-0C00-000021000000}"/>
    <hyperlink ref="F41" r:id="rId35" xr:uid="{00000000-0004-0000-0C00-000022000000}"/>
    <hyperlink ref="F42" r:id="rId36" xr:uid="{00000000-0004-0000-0C00-000023000000}"/>
    <hyperlink ref="F43" r:id="rId37" xr:uid="{00000000-0004-0000-0C00-000024000000}"/>
    <hyperlink ref="F44" r:id="rId38" xr:uid="{00000000-0004-0000-0C00-000025000000}"/>
    <hyperlink ref="F45" r:id="rId39" xr:uid="{00000000-0004-0000-0C00-000026000000}"/>
    <hyperlink ref="F46" r:id="rId40" xr:uid="{00000000-0004-0000-0C00-000027000000}"/>
    <hyperlink ref="F47" r:id="rId41" xr:uid="{00000000-0004-0000-0C00-000028000000}"/>
    <hyperlink ref="F48" r:id="rId42" xr:uid="{00000000-0004-0000-0C00-000029000000}"/>
    <hyperlink ref="F49" r:id="rId43" xr:uid="{00000000-0004-0000-0C00-00002A000000}"/>
    <hyperlink ref="F50" r:id="rId44" xr:uid="{00000000-0004-0000-0C00-00002B000000}"/>
    <hyperlink ref="F51" r:id="rId45" xr:uid="{00000000-0004-0000-0C00-00002C000000}"/>
    <hyperlink ref="F52" r:id="rId46" xr:uid="{00000000-0004-0000-0C00-00002D000000}"/>
    <hyperlink ref="F53" r:id="rId47" xr:uid="{00000000-0004-0000-0C00-00002E000000}"/>
    <hyperlink ref="F54" r:id="rId48" xr:uid="{00000000-0004-0000-0C00-00002F000000}"/>
    <hyperlink ref="F55" r:id="rId49" xr:uid="{00000000-0004-0000-0C00-000030000000}"/>
    <hyperlink ref="F56" r:id="rId50" xr:uid="{00000000-0004-0000-0C00-000031000000}"/>
    <hyperlink ref="F57" r:id="rId51" xr:uid="{00000000-0004-0000-0C00-000032000000}"/>
    <hyperlink ref="F58" r:id="rId52" xr:uid="{00000000-0004-0000-0C00-000033000000}"/>
    <hyperlink ref="F59" r:id="rId53" xr:uid="{00000000-0004-0000-0C00-000034000000}"/>
    <hyperlink ref="F60" r:id="rId54" xr:uid="{00000000-0004-0000-0C00-000035000000}"/>
    <hyperlink ref="F61" r:id="rId55" xr:uid="{00000000-0004-0000-0C00-000036000000}"/>
    <hyperlink ref="F62" r:id="rId56" xr:uid="{00000000-0004-0000-0C00-000037000000}"/>
    <hyperlink ref="F63" r:id="rId57" xr:uid="{00000000-0004-0000-0C00-000038000000}"/>
    <hyperlink ref="F64" r:id="rId58" xr:uid="{00000000-0004-0000-0C00-000039000000}"/>
    <hyperlink ref="F65" r:id="rId59" xr:uid="{00000000-0004-0000-0C00-00003A000000}"/>
    <hyperlink ref="F66" r:id="rId60" xr:uid="{00000000-0004-0000-0C00-00003B000000}"/>
    <hyperlink ref="F67" r:id="rId61" xr:uid="{00000000-0004-0000-0C00-00003C000000}"/>
    <hyperlink ref="F68" r:id="rId62" xr:uid="{00000000-0004-0000-0C00-00003D000000}"/>
    <hyperlink ref="F69" r:id="rId63" xr:uid="{00000000-0004-0000-0C00-00003E000000}"/>
    <hyperlink ref="F70" r:id="rId64" xr:uid="{00000000-0004-0000-0C00-00003F000000}"/>
    <hyperlink ref="F71" r:id="rId65" xr:uid="{00000000-0004-0000-0C00-000040000000}"/>
    <hyperlink ref="F72" r:id="rId66" xr:uid="{00000000-0004-0000-0C00-000041000000}"/>
    <hyperlink ref="F73" r:id="rId67" xr:uid="{00000000-0004-0000-0C00-000042000000}"/>
    <hyperlink ref="F74" r:id="rId68" xr:uid="{00000000-0004-0000-0C00-000043000000}"/>
    <hyperlink ref="F75" r:id="rId69" xr:uid="{00000000-0004-0000-0C00-000044000000}"/>
    <hyperlink ref="F76" r:id="rId70" xr:uid="{00000000-0004-0000-0C00-000045000000}"/>
    <hyperlink ref="F77" r:id="rId71" xr:uid="{00000000-0004-0000-0C00-000046000000}"/>
    <hyperlink ref="F78" r:id="rId72" xr:uid="{00000000-0004-0000-0C00-000047000000}"/>
    <hyperlink ref="F79" r:id="rId73" xr:uid="{00000000-0004-0000-0C00-000048000000}"/>
    <hyperlink ref="F80" r:id="rId74" xr:uid="{00000000-0004-0000-0C00-000049000000}"/>
    <hyperlink ref="F81" r:id="rId75" xr:uid="{00000000-0004-0000-0C00-00004A000000}"/>
    <hyperlink ref="F82" r:id="rId76" xr:uid="{00000000-0004-0000-0C00-00004B000000}"/>
    <hyperlink ref="F83" r:id="rId77" xr:uid="{00000000-0004-0000-0C00-00004C000000}"/>
    <hyperlink ref="F84" r:id="rId78" xr:uid="{00000000-0004-0000-0C00-00004D000000}"/>
    <hyperlink ref="F85" r:id="rId79" xr:uid="{00000000-0004-0000-0C00-00004E000000}"/>
    <hyperlink ref="F86" r:id="rId80" xr:uid="{00000000-0004-0000-0C00-00004F000000}"/>
    <hyperlink ref="F87" r:id="rId81" xr:uid="{00000000-0004-0000-0C00-000050000000}"/>
    <hyperlink ref="F88" r:id="rId82" xr:uid="{00000000-0004-0000-0C00-000051000000}"/>
    <hyperlink ref="F89" r:id="rId83" xr:uid="{00000000-0004-0000-0C00-000052000000}"/>
    <hyperlink ref="F90" r:id="rId84" xr:uid="{00000000-0004-0000-0C00-000053000000}"/>
    <hyperlink ref="F91" r:id="rId85" xr:uid="{00000000-0004-0000-0C00-000054000000}"/>
    <hyperlink ref="F92" r:id="rId86" xr:uid="{00000000-0004-0000-0C00-000055000000}"/>
    <hyperlink ref="F93" r:id="rId87" xr:uid="{00000000-0004-0000-0C00-000056000000}"/>
    <hyperlink ref="F94" r:id="rId88" xr:uid="{00000000-0004-0000-0C00-000057000000}"/>
    <hyperlink ref="F95" r:id="rId89" xr:uid="{00000000-0004-0000-0C00-000058000000}"/>
    <hyperlink ref="F96" r:id="rId90" xr:uid="{00000000-0004-0000-0C00-000059000000}"/>
    <hyperlink ref="F97" r:id="rId91" xr:uid="{00000000-0004-0000-0C00-00005A000000}"/>
    <hyperlink ref="F98" r:id="rId92" xr:uid="{00000000-0004-0000-0C00-00005B000000}"/>
    <hyperlink ref="F99" r:id="rId93" xr:uid="{00000000-0004-0000-0C00-00005C000000}"/>
    <hyperlink ref="F100" r:id="rId94" xr:uid="{00000000-0004-0000-0C00-00005D000000}"/>
    <hyperlink ref="F101" r:id="rId95" xr:uid="{00000000-0004-0000-0C00-00005E000000}"/>
    <hyperlink ref="F102" r:id="rId96" xr:uid="{00000000-0004-0000-0C00-00005F000000}"/>
    <hyperlink ref="F103" r:id="rId97" xr:uid="{00000000-0004-0000-0C00-000060000000}"/>
    <hyperlink ref="F104" r:id="rId98" xr:uid="{00000000-0004-0000-0C00-000061000000}"/>
    <hyperlink ref="F105" r:id="rId99" xr:uid="{00000000-0004-0000-0C00-000062000000}"/>
    <hyperlink ref="F106" r:id="rId100" xr:uid="{00000000-0004-0000-0C00-000063000000}"/>
    <hyperlink ref="F107" r:id="rId101" xr:uid="{00000000-0004-0000-0C00-000064000000}"/>
    <hyperlink ref="F108" r:id="rId102" xr:uid="{00000000-0004-0000-0C00-000065000000}"/>
    <hyperlink ref="F109" r:id="rId103" xr:uid="{00000000-0004-0000-0C00-000066000000}"/>
    <hyperlink ref="F110" r:id="rId104" xr:uid="{00000000-0004-0000-0C00-000067000000}"/>
    <hyperlink ref="F111" r:id="rId105" xr:uid="{00000000-0004-0000-0C00-000068000000}"/>
    <hyperlink ref="F112" r:id="rId106" xr:uid="{00000000-0004-0000-0C00-000069000000}"/>
    <hyperlink ref="F113" r:id="rId107" xr:uid="{00000000-0004-0000-0C00-00006A000000}"/>
    <hyperlink ref="F114" r:id="rId108" xr:uid="{00000000-0004-0000-0C00-00006B000000}"/>
    <hyperlink ref="F115" r:id="rId109" xr:uid="{00000000-0004-0000-0C00-00006C000000}"/>
    <hyperlink ref="F116" r:id="rId110" xr:uid="{00000000-0004-0000-0C00-00006D000000}"/>
    <hyperlink ref="F117" r:id="rId111" xr:uid="{00000000-0004-0000-0C00-00006E000000}"/>
    <hyperlink ref="F118" r:id="rId112" xr:uid="{00000000-0004-0000-0C00-00006F000000}"/>
    <hyperlink ref="F119" r:id="rId113" xr:uid="{00000000-0004-0000-0C00-000070000000}"/>
    <hyperlink ref="F120" r:id="rId114" xr:uid="{00000000-0004-0000-0C00-000071000000}"/>
    <hyperlink ref="F121" r:id="rId115" xr:uid="{00000000-0004-0000-0C00-000072000000}"/>
    <hyperlink ref="F122" r:id="rId116" xr:uid="{00000000-0004-0000-0C00-000073000000}"/>
    <hyperlink ref="F123" r:id="rId117" xr:uid="{00000000-0004-0000-0C00-000074000000}"/>
    <hyperlink ref="F124" r:id="rId118" xr:uid="{00000000-0004-0000-0C00-000075000000}"/>
    <hyperlink ref="F125" r:id="rId119" xr:uid="{00000000-0004-0000-0C00-000076000000}"/>
    <hyperlink ref="F126" r:id="rId120" xr:uid="{00000000-0004-0000-0C00-000077000000}"/>
    <hyperlink ref="F127" r:id="rId121" xr:uid="{00000000-0004-0000-0C00-000078000000}"/>
    <hyperlink ref="F128" r:id="rId122" xr:uid="{00000000-0004-0000-0C00-000079000000}"/>
    <hyperlink ref="F129" r:id="rId123" xr:uid="{00000000-0004-0000-0C00-00007A000000}"/>
    <hyperlink ref="F130" r:id="rId124" xr:uid="{00000000-0004-0000-0C00-00007B000000}"/>
    <hyperlink ref="F131" r:id="rId125" xr:uid="{00000000-0004-0000-0C00-00007C000000}"/>
    <hyperlink ref="F132" r:id="rId126" xr:uid="{00000000-0004-0000-0C00-00007D000000}"/>
    <hyperlink ref="F133" r:id="rId127" xr:uid="{00000000-0004-0000-0C00-00007E000000}"/>
    <hyperlink ref="F134" r:id="rId128" xr:uid="{00000000-0004-0000-0C00-00007F000000}"/>
    <hyperlink ref="F135" r:id="rId129" xr:uid="{00000000-0004-0000-0C00-000080000000}"/>
    <hyperlink ref="F136" r:id="rId130" xr:uid="{00000000-0004-0000-0C00-000081000000}"/>
    <hyperlink ref="F137" r:id="rId131" xr:uid="{00000000-0004-0000-0C00-000082000000}"/>
    <hyperlink ref="F138" r:id="rId132" xr:uid="{00000000-0004-0000-0C00-000083000000}"/>
    <hyperlink ref="F139" r:id="rId133" xr:uid="{00000000-0004-0000-0C00-000084000000}"/>
    <hyperlink ref="F140" r:id="rId134" xr:uid="{00000000-0004-0000-0C00-000085000000}"/>
    <hyperlink ref="F141" r:id="rId135" xr:uid="{00000000-0004-0000-0C00-000086000000}"/>
    <hyperlink ref="F142" r:id="rId136" xr:uid="{00000000-0004-0000-0C00-000087000000}"/>
    <hyperlink ref="F143" r:id="rId137" xr:uid="{00000000-0004-0000-0C00-000088000000}"/>
    <hyperlink ref="F144" r:id="rId138" xr:uid="{00000000-0004-0000-0C00-000089000000}"/>
    <hyperlink ref="F145" r:id="rId139" xr:uid="{00000000-0004-0000-0C00-00008A000000}"/>
    <hyperlink ref="F146" r:id="rId140" xr:uid="{00000000-0004-0000-0C00-00008B000000}"/>
    <hyperlink ref="F147" r:id="rId141" xr:uid="{00000000-0004-0000-0C00-00008C000000}"/>
    <hyperlink ref="F148" r:id="rId142" xr:uid="{00000000-0004-0000-0C00-00008D000000}"/>
    <hyperlink ref="F149" r:id="rId143" xr:uid="{00000000-0004-0000-0C00-00008E000000}"/>
    <hyperlink ref="F150" r:id="rId144" xr:uid="{00000000-0004-0000-0C00-00008F000000}"/>
    <hyperlink ref="F151" r:id="rId145" xr:uid="{00000000-0004-0000-0C00-000090000000}"/>
    <hyperlink ref="F152" r:id="rId146" xr:uid="{00000000-0004-0000-0C00-000091000000}"/>
    <hyperlink ref="F153" r:id="rId147" xr:uid="{00000000-0004-0000-0C00-000092000000}"/>
    <hyperlink ref="F154" r:id="rId148" xr:uid="{00000000-0004-0000-0C00-000093000000}"/>
    <hyperlink ref="F155" r:id="rId149" xr:uid="{00000000-0004-0000-0C00-000094000000}"/>
    <hyperlink ref="F156" r:id="rId150" xr:uid="{00000000-0004-0000-0C00-000095000000}"/>
    <hyperlink ref="F157" r:id="rId151" xr:uid="{00000000-0004-0000-0C00-000096000000}"/>
    <hyperlink ref="F158" r:id="rId152" xr:uid="{00000000-0004-0000-0C00-000097000000}"/>
    <hyperlink ref="F159" r:id="rId153" xr:uid="{00000000-0004-0000-0C00-000098000000}"/>
    <hyperlink ref="F160" r:id="rId154" xr:uid="{00000000-0004-0000-0C00-000099000000}"/>
    <hyperlink ref="F161" r:id="rId155" xr:uid="{00000000-0004-0000-0C00-00009A000000}"/>
    <hyperlink ref="F162" r:id="rId156" xr:uid="{00000000-0004-0000-0C00-00009B000000}"/>
    <hyperlink ref="F163" r:id="rId157" xr:uid="{00000000-0004-0000-0C00-00009C000000}"/>
    <hyperlink ref="F164" r:id="rId158" xr:uid="{00000000-0004-0000-0C00-00009D000000}"/>
    <hyperlink ref="F165" r:id="rId159" xr:uid="{00000000-0004-0000-0C00-00009E000000}"/>
    <hyperlink ref="F166" r:id="rId160" xr:uid="{00000000-0004-0000-0C00-00009F000000}"/>
    <hyperlink ref="F167" r:id="rId161" xr:uid="{00000000-0004-0000-0C00-0000A0000000}"/>
    <hyperlink ref="F168" r:id="rId162" xr:uid="{00000000-0004-0000-0C00-0000A1000000}"/>
    <hyperlink ref="F169" r:id="rId163" xr:uid="{00000000-0004-0000-0C00-0000A2000000}"/>
    <hyperlink ref="F170" r:id="rId164" xr:uid="{00000000-0004-0000-0C00-0000A3000000}"/>
    <hyperlink ref="F171" r:id="rId165" xr:uid="{00000000-0004-0000-0C00-0000A4000000}"/>
    <hyperlink ref="F172" r:id="rId166" xr:uid="{00000000-0004-0000-0C00-0000A5000000}"/>
    <hyperlink ref="F173" r:id="rId167" xr:uid="{00000000-0004-0000-0C00-0000A6000000}"/>
    <hyperlink ref="F174" r:id="rId168" xr:uid="{00000000-0004-0000-0C00-0000A7000000}"/>
    <hyperlink ref="F175" r:id="rId169" xr:uid="{00000000-0004-0000-0C00-0000A8000000}"/>
    <hyperlink ref="F176" r:id="rId170" xr:uid="{00000000-0004-0000-0C00-0000A9000000}"/>
    <hyperlink ref="F177" r:id="rId171" xr:uid="{00000000-0004-0000-0C00-0000AA000000}"/>
    <hyperlink ref="F178" r:id="rId172" xr:uid="{00000000-0004-0000-0C00-0000AB000000}"/>
    <hyperlink ref="F179" r:id="rId173" xr:uid="{00000000-0004-0000-0C00-0000AC000000}"/>
    <hyperlink ref="F180" r:id="rId174" xr:uid="{00000000-0004-0000-0C00-0000AD000000}"/>
    <hyperlink ref="F181" r:id="rId175" xr:uid="{00000000-0004-0000-0C00-0000AE000000}"/>
    <hyperlink ref="F182" r:id="rId176" xr:uid="{00000000-0004-0000-0C00-0000AF000000}"/>
    <hyperlink ref="F183" r:id="rId177" xr:uid="{00000000-0004-0000-0C00-0000B0000000}"/>
    <hyperlink ref="F184" r:id="rId178" xr:uid="{00000000-0004-0000-0C00-0000B1000000}"/>
    <hyperlink ref="F185" r:id="rId179" xr:uid="{00000000-0004-0000-0C00-0000B2000000}"/>
    <hyperlink ref="F186" r:id="rId180" xr:uid="{00000000-0004-0000-0C00-0000B3000000}"/>
    <hyperlink ref="F187" r:id="rId181" xr:uid="{00000000-0004-0000-0C00-0000B4000000}"/>
    <hyperlink ref="F188" r:id="rId182" xr:uid="{00000000-0004-0000-0C00-0000B5000000}"/>
    <hyperlink ref="F189" r:id="rId183" xr:uid="{00000000-0004-0000-0C00-0000B6000000}"/>
    <hyperlink ref="F190" r:id="rId184" xr:uid="{00000000-0004-0000-0C00-0000B7000000}"/>
    <hyperlink ref="F191" r:id="rId185" xr:uid="{00000000-0004-0000-0C00-0000B8000000}"/>
    <hyperlink ref="F192" r:id="rId186" xr:uid="{00000000-0004-0000-0C00-0000B9000000}"/>
    <hyperlink ref="F193" r:id="rId187" xr:uid="{00000000-0004-0000-0C00-0000BA000000}"/>
    <hyperlink ref="F194" r:id="rId188" xr:uid="{00000000-0004-0000-0C00-0000BB000000}"/>
    <hyperlink ref="F195" r:id="rId189" xr:uid="{00000000-0004-0000-0C00-0000BC000000}"/>
    <hyperlink ref="F196" r:id="rId190" xr:uid="{00000000-0004-0000-0C00-0000BD000000}"/>
    <hyperlink ref="F197" r:id="rId191" xr:uid="{00000000-0004-0000-0C00-0000BE000000}"/>
    <hyperlink ref="F198" r:id="rId192" xr:uid="{00000000-0004-0000-0C00-0000BF000000}"/>
    <hyperlink ref="F199" r:id="rId193" xr:uid="{00000000-0004-0000-0C00-0000C0000000}"/>
    <hyperlink ref="F200" r:id="rId194" xr:uid="{00000000-0004-0000-0C00-0000C1000000}"/>
    <hyperlink ref="F201" r:id="rId195" xr:uid="{00000000-0004-0000-0C00-0000C2000000}"/>
    <hyperlink ref="F202" r:id="rId196" xr:uid="{00000000-0004-0000-0C00-0000C3000000}"/>
    <hyperlink ref="F203" r:id="rId197" xr:uid="{00000000-0004-0000-0C00-0000C4000000}"/>
    <hyperlink ref="F204" r:id="rId198" xr:uid="{00000000-0004-0000-0C00-0000C5000000}"/>
    <hyperlink ref="F205" r:id="rId199" xr:uid="{00000000-0004-0000-0C00-0000C6000000}"/>
    <hyperlink ref="F206" r:id="rId200" xr:uid="{00000000-0004-0000-0C00-0000C7000000}"/>
    <hyperlink ref="F207" r:id="rId201" xr:uid="{00000000-0004-0000-0C00-0000C8000000}"/>
    <hyperlink ref="F208" r:id="rId202" xr:uid="{00000000-0004-0000-0C00-0000C9000000}"/>
    <hyperlink ref="F209" r:id="rId203" xr:uid="{00000000-0004-0000-0C00-0000CA000000}"/>
    <hyperlink ref="F210" r:id="rId204" xr:uid="{00000000-0004-0000-0C00-0000CB000000}"/>
    <hyperlink ref="F211" r:id="rId205" xr:uid="{00000000-0004-0000-0C00-0000CC000000}"/>
    <hyperlink ref="F212" r:id="rId206" xr:uid="{00000000-0004-0000-0C00-0000CD000000}"/>
    <hyperlink ref="F213" r:id="rId207" xr:uid="{00000000-0004-0000-0C00-0000CE000000}"/>
    <hyperlink ref="F214" r:id="rId208" xr:uid="{00000000-0004-0000-0C00-0000CF000000}"/>
    <hyperlink ref="F215" r:id="rId209" xr:uid="{00000000-0004-0000-0C00-0000D0000000}"/>
    <hyperlink ref="F216" r:id="rId210" xr:uid="{00000000-0004-0000-0C00-0000D1000000}"/>
    <hyperlink ref="F217" r:id="rId211" xr:uid="{00000000-0004-0000-0C00-0000D2000000}"/>
    <hyperlink ref="F218" r:id="rId212" xr:uid="{00000000-0004-0000-0C00-0000D3000000}"/>
    <hyperlink ref="F219" r:id="rId213" xr:uid="{00000000-0004-0000-0C00-0000D4000000}"/>
    <hyperlink ref="F220" r:id="rId214" xr:uid="{00000000-0004-0000-0C00-0000D5000000}"/>
    <hyperlink ref="F221" r:id="rId215" xr:uid="{00000000-0004-0000-0C00-0000D6000000}"/>
    <hyperlink ref="F222" r:id="rId216" xr:uid="{00000000-0004-0000-0C00-0000D7000000}"/>
    <hyperlink ref="F223" r:id="rId217" xr:uid="{00000000-0004-0000-0C00-0000D8000000}"/>
    <hyperlink ref="F224" r:id="rId218" xr:uid="{00000000-0004-0000-0C00-0000D9000000}"/>
    <hyperlink ref="F225" r:id="rId219" xr:uid="{00000000-0004-0000-0C00-0000DA000000}"/>
    <hyperlink ref="F226" r:id="rId220" xr:uid="{00000000-0004-0000-0C00-0000DB000000}"/>
    <hyperlink ref="F227" r:id="rId221" xr:uid="{00000000-0004-0000-0C00-0000DC000000}"/>
    <hyperlink ref="F228" r:id="rId222" xr:uid="{00000000-0004-0000-0C00-0000DD000000}"/>
    <hyperlink ref="F229" r:id="rId223" xr:uid="{00000000-0004-0000-0C00-0000DE000000}"/>
    <hyperlink ref="F230" r:id="rId224" xr:uid="{00000000-0004-0000-0C00-0000DF000000}"/>
    <hyperlink ref="F231" r:id="rId225" xr:uid="{00000000-0004-0000-0C00-0000E0000000}"/>
    <hyperlink ref="F232" r:id="rId226" xr:uid="{00000000-0004-0000-0C00-0000E1000000}"/>
    <hyperlink ref="F233" r:id="rId227" xr:uid="{00000000-0004-0000-0C00-0000E2000000}"/>
    <hyperlink ref="F234" r:id="rId228" xr:uid="{00000000-0004-0000-0C00-0000E3000000}"/>
    <hyperlink ref="F235" r:id="rId229" xr:uid="{00000000-0004-0000-0C00-0000E4000000}"/>
    <hyperlink ref="F236" r:id="rId230" xr:uid="{00000000-0004-0000-0C00-0000E5000000}"/>
    <hyperlink ref="F237" r:id="rId231" xr:uid="{00000000-0004-0000-0C00-0000E6000000}"/>
    <hyperlink ref="F238" r:id="rId232" xr:uid="{00000000-0004-0000-0C00-0000E7000000}"/>
    <hyperlink ref="F239" r:id="rId233" xr:uid="{00000000-0004-0000-0C00-0000E8000000}"/>
    <hyperlink ref="F240" r:id="rId234" xr:uid="{00000000-0004-0000-0C00-0000E9000000}"/>
    <hyperlink ref="F241" r:id="rId235" xr:uid="{00000000-0004-0000-0C00-0000EA000000}"/>
    <hyperlink ref="F242" r:id="rId236" xr:uid="{00000000-0004-0000-0C00-0000EB000000}"/>
    <hyperlink ref="F243" r:id="rId237" xr:uid="{00000000-0004-0000-0C00-0000EC000000}"/>
    <hyperlink ref="F244" r:id="rId238" xr:uid="{00000000-0004-0000-0C00-0000ED000000}"/>
    <hyperlink ref="F245" r:id="rId239" xr:uid="{00000000-0004-0000-0C00-0000EE000000}"/>
    <hyperlink ref="F246" r:id="rId240" xr:uid="{00000000-0004-0000-0C00-0000EF000000}"/>
    <hyperlink ref="F247" r:id="rId241" xr:uid="{00000000-0004-0000-0C00-0000F0000000}"/>
    <hyperlink ref="F248" r:id="rId242" xr:uid="{00000000-0004-0000-0C00-0000F1000000}"/>
    <hyperlink ref="F249" r:id="rId243" xr:uid="{00000000-0004-0000-0C00-0000F2000000}"/>
    <hyperlink ref="F250" r:id="rId244" xr:uid="{00000000-0004-0000-0C00-0000F3000000}"/>
    <hyperlink ref="F251" r:id="rId245" xr:uid="{00000000-0004-0000-0C00-0000F4000000}"/>
    <hyperlink ref="F252" r:id="rId246" xr:uid="{00000000-0004-0000-0C00-0000F5000000}"/>
    <hyperlink ref="F253" r:id="rId247" xr:uid="{00000000-0004-0000-0C00-0000F6000000}"/>
    <hyperlink ref="F254" r:id="rId248" xr:uid="{00000000-0004-0000-0C00-0000F7000000}"/>
    <hyperlink ref="F255" r:id="rId249" xr:uid="{00000000-0004-0000-0C00-0000F8000000}"/>
    <hyperlink ref="F256" r:id="rId250" xr:uid="{00000000-0004-0000-0C00-0000F9000000}"/>
    <hyperlink ref="F257" r:id="rId251" xr:uid="{00000000-0004-0000-0C00-0000FA000000}"/>
    <hyperlink ref="F258" r:id="rId252" xr:uid="{00000000-0004-0000-0C00-0000FB000000}"/>
    <hyperlink ref="F259" r:id="rId253" xr:uid="{00000000-0004-0000-0C00-0000FC000000}"/>
    <hyperlink ref="F260" r:id="rId254" xr:uid="{00000000-0004-0000-0C00-0000FD000000}"/>
    <hyperlink ref="F261" r:id="rId255" xr:uid="{00000000-0004-0000-0C00-0000FE000000}"/>
    <hyperlink ref="F262" r:id="rId256" xr:uid="{00000000-0004-0000-0C00-0000FF000000}"/>
    <hyperlink ref="F263" r:id="rId257" xr:uid="{00000000-0004-0000-0C00-000000010000}"/>
    <hyperlink ref="F264" r:id="rId258" xr:uid="{00000000-0004-0000-0C00-000001010000}"/>
    <hyperlink ref="F265" r:id="rId259" xr:uid="{00000000-0004-0000-0C00-000002010000}"/>
    <hyperlink ref="F266" r:id="rId260" xr:uid="{00000000-0004-0000-0C00-000003010000}"/>
    <hyperlink ref="F267" r:id="rId261" xr:uid="{00000000-0004-0000-0C00-000004010000}"/>
    <hyperlink ref="F268" r:id="rId262" xr:uid="{00000000-0004-0000-0C00-000005010000}"/>
    <hyperlink ref="F269" r:id="rId263" xr:uid="{00000000-0004-0000-0C00-000006010000}"/>
    <hyperlink ref="F270" r:id="rId264" xr:uid="{00000000-0004-0000-0C00-000007010000}"/>
    <hyperlink ref="F271" r:id="rId265" xr:uid="{00000000-0004-0000-0C00-000008010000}"/>
    <hyperlink ref="F272" r:id="rId266" xr:uid="{00000000-0004-0000-0C00-000009010000}"/>
    <hyperlink ref="F273" r:id="rId267" xr:uid="{00000000-0004-0000-0C00-00000A010000}"/>
    <hyperlink ref="F274" r:id="rId268" xr:uid="{00000000-0004-0000-0C00-00000B010000}"/>
    <hyperlink ref="F275" r:id="rId269" xr:uid="{00000000-0004-0000-0C00-00000C010000}"/>
    <hyperlink ref="F276" r:id="rId270" xr:uid="{00000000-0004-0000-0C00-00000D010000}"/>
    <hyperlink ref="F277" r:id="rId271" xr:uid="{00000000-0004-0000-0C00-00000E010000}"/>
    <hyperlink ref="F278" r:id="rId272" xr:uid="{00000000-0004-0000-0C00-00000F010000}"/>
    <hyperlink ref="F279" r:id="rId273" xr:uid="{00000000-0004-0000-0C00-000010010000}"/>
    <hyperlink ref="F280" r:id="rId274" xr:uid="{00000000-0004-0000-0C00-000011010000}"/>
    <hyperlink ref="F281" r:id="rId275" xr:uid="{00000000-0004-0000-0C00-000012010000}"/>
    <hyperlink ref="F282" r:id="rId276" xr:uid="{00000000-0004-0000-0C00-000013010000}"/>
    <hyperlink ref="F283" r:id="rId277" xr:uid="{00000000-0004-0000-0C00-000014010000}"/>
    <hyperlink ref="F284" r:id="rId278" xr:uid="{00000000-0004-0000-0C00-000015010000}"/>
    <hyperlink ref="F285" r:id="rId279" xr:uid="{00000000-0004-0000-0C00-000016010000}"/>
    <hyperlink ref="F286" r:id="rId280" xr:uid="{00000000-0004-0000-0C00-000017010000}"/>
    <hyperlink ref="F287" r:id="rId281" xr:uid="{00000000-0004-0000-0C00-000018010000}"/>
    <hyperlink ref="F288" r:id="rId282" xr:uid="{00000000-0004-0000-0C00-000019010000}"/>
    <hyperlink ref="F289" r:id="rId283" xr:uid="{00000000-0004-0000-0C00-00001A010000}"/>
    <hyperlink ref="F290" r:id="rId284" xr:uid="{00000000-0004-0000-0C00-00001B010000}"/>
    <hyperlink ref="F291" r:id="rId285" xr:uid="{00000000-0004-0000-0C00-00001C010000}"/>
    <hyperlink ref="F292" r:id="rId286" xr:uid="{00000000-0004-0000-0C00-00001D010000}"/>
    <hyperlink ref="F293" r:id="rId287" xr:uid="{00000000-0004-0000-0C00-00001E010000}"/>
    <hyperlink ref="F294" r:id="rId288" xr:uid="{00000000-0004-0000-0C00-00001F010000}"/>
    <hyperlink ref="F295" r:id="rId289" xr:uid="{00000000-0004-0000-0C00-000020010000}"/>
    <hyperlink ref="F296" r:id="rId290" xr:uid="{00000000-0004-0000-0C00-000021010000}"/>
    <hyperlink ref="F297" r:id="rId291" xr:uid="{00000000-0004-0000-0C00-000022010000}"/>
    <hyperlink ref="F298" r:id="rId292" xr:uid="{00000000-0004-0000-0C00-000023010000}"/>
    <hyperlink ref="F299" r:id="rId293" xr:uid="{00000000-0004-0000-0C00-000024010000}"/>
    <hyperlink ref="F300" r:id="rId294" xr:uid="{00000000-0004-0000-0C00-000025010000}"/>
    <hyperlink ref="F301" r:id="rId295" xr:uid="{00000000-0004-0000-0C00-000026010000}"/>
    <hyperlink ref="F302" r:id="rId296" xr:uid="{00000000-0004-0000-0C00-000027010000}"/>
    <hyperlink ref="F303" r:id="rId297" xr:uid="{00000000-0004-0000-0C00-000028010000}"/>
    <hyperlink ref="F304" r:id="rId298" xr:uid="{00000000-0004-0000-0C00-000029010000}"/>
    <hyperlink ref="F305" r:id="rId299" xr:uid="{00000000-0004-0000-0C00-00002A010000}"/>
    <hyperlink ref="F306" r:id="rId300" xr:uid="{00000000-0004-0000-0C00-00002B010000}"/>
    <hyperlink ref="F307" r:id="rId301" xr:uid="{00000000-0004-0000-0C00-00002C010000}"/>
    <hyperlink ref="F308" r:id="rId302" xr:uid="{00000000-0004-0000-0C00-00002D010000}"/>
    <hyperlink ref="F309" r:id="rId303" xr:uid="{00000000-0004-0000-0C00-00002E010000}"/>
    <hyperlink ref="F310" r:id="rId304" xr:uid="{00000000-0004-0000-0C00-00002F010000}"/>
    <hyperlink ref="F311" r:id="rId305" xr:uid="{00000000-0004-0000-0C00-000030010000}"/>
    <hyperlink ref="F312" r:id="rId306" xr:uid="{00000000-0004-0000-0C00-000031010000}"/>
    <hyperlink ref="F313" r:id="rId307" xr:uid="{00000000-0004-0000-0C00-000032010000}"/>
    <hyperlink ref="F314" r:id="rId308" xr:uid="{00000000-0004-0000-0C00-000033010000}"/>
    <hyperlink ref="F315" r:id="rId309" xr:uid="{00000000-0004-0000-0C00-000034010000}"/>
    <hyperlink ref="F316" r:id="rId310" xr:uid="{00000000-0004-0000-0C00-000035010000}"/>
    <hyperlink ref="F317" r:id="rId311" xr:uid="{00000000-0004-0000-0C00-000036010000}"/>
    <hyperlink ref="F318" r:id="rId312" xr:uid="{00000000-0004-0000-0C00-000037010000}"/>
    <hyperlink ref="F319" r:id="rId313" xr:uid="{00000000-0004-0000-0C00-000038010000}"/>
    <hyperlink ref="F320" r:id="rId314" xr:uid="{00000000-0004-0000-0C00-000039010000}"/>
  </hyperlinks>
  <pageMargins left="0.75" right="0.75" top="1" bottom="1" header="0.5" footer="0.5"/>
  <pageSetup fitToHeight="0"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D609"/>
  <sheetViews>
    <sheetView showGridLines="0" workbookViewId="0">
      <pane xSplit="1" ySplit="5" topLeftCell="B6" activePane="bottomRight" state="frozen"/>
      <selection pane="topRight"/>
      <selection pane="bottomLeft"/>
      <selection pane="bottomRight"/>
    </sheetView>
  </sheetViews>
  <sheetFormatPr defaultRowHeight="16.5" x14ac:dyDescent="0.3"/>
  <cols>
    <col min="1" max="1" width="16" customWidth="1"/>
    <col min="2" max="2" width="7" customWidth="1"/>
    <col min="3" max="4" width="70" customWidth="1"/>
  </cols>
  <sheetData>
    <row r="1" spans="1:4" ht="30" customHeight="1" x14ac:dyDescent="0.3">
      <c r="A1" s="1" t="s">
        <v>4227</v>
      </c>
    </row>
    <row r="2" spans="1:4" ht="33.950000000000003" customHeight="1" x14ac:dyDescent="0.3">
      <c r="A2" s="10" t="s">
        <v>4228</v>
      </c>
      <c r="B2" s="11"/>
      <c r="C2" s="11"/>
      <c r="D2" s="11"/>
    </row>
    <row r="3" spans="1:4" x14ac:dyDescent="0.3">
      <c r="A3" s="2" t="s">
        <v>2</v>
      </c>
    </row>
    <row r="5" spans="1:4" ht="26.1" customHeight="1" x14ac:dyDescent="0.3">
      <c r="A5" s="3" t="s">
        <v>4229</v>
      </c>
      <c r="B5" s="3" t="s">
        <v>4230</v>
      </c>
      <c r="C5" s="3" t="s">
        <v>4231</v>
      </c>
      <c r="D5" s="3" t="s">
        <v>4232</v>
      </c>
    </row>
    <row r="6" spans="1:4" x14ac:dyDescent="0.3">
      <c r="A6" s="6" t="s">
        <v>4233</v>
      </c>
      <c r="B6" s="6" t="s">
        <v>4234</v>
      </c>
      <c r="C6" s="4" t="s">
        <v>4235</v>
      </c>
      <c r="D6" s="9" t="s">
        <v>4236</v>
      </c>
    </row>
    <row r="7" spans="1:4" x14ac:dyDescent="0.3">
      <c r="A7" s="6" t="s">
        <v>4233</v>
      </c>
      <c r="B7" s="6" t="s">
        <v>4237</v>
      </c>
      <c r="C7" s="4" t="s">
        <v>4238</v>
      </c>
      <c r="D7" s="9" t="s">
        <v>4239</v>
      </c>
    </row>
    <row r="8" spans="1:4" x14ac:dyDescent="0.3">
      <c r="A8" s="6" t="s">
        <v>4233</v>
      </c>
      <c r="B8" s="6" t="s">
        <v>4240</v>
      </c>
      <c r="C8" s="4" t="s">
        <v>4241</v>
      </c>
      <c r="D8" s="9" t="s">
        <v>3995</v>
      </c>
    </row>
    <row r="9" spans="1:4" ht="24" x14ac:dyDescent="0.3">
      <c r="A9" s="6" t="s">
        <v>4233</v>
      </c>
      <c r="B9" s="6" t="s">
        <v>4242</v>
      </c>
      <c r="C9" s="4" t="s">
        <v>4243</v>
      </c>
      <c r="D9" s="9" t="s">
        <v>4244</v>
      </c>
    </row>
    <row r="10" spans="1:4" ht="24" x14ac:dyDescent="0.3">
      <c r="A10" s="6" t="s">
        <v>4233</v>
      </c>
      <c r="B10" s="6" t="s">
        <v>4245</v>
      </c>
      <c r="C10" s="4" t="s">
        <v>4246</v>
      </c>
      <c r="D10" s="9" t="s">
        <v>4247</v>
      </c>
    </row>
    <row r="11" spans="1:4" ht="24" x14ac:dyDescent="0.3">
      <c r="A11" s="6" t="s">
        <v>4233</v>
      </c>
      <c r="B11" s="6" t="s">
        <v>4248</v>
      </c>
      <c r="C11" s="4" t="s">
        <v>4249</v>
      </c>
      <c r="D11" s="9" t="s">
        <v>4250</v>
      </c>
    </row>
    <row r="12" spans="1:4" x14ac:dyDescent="0.3">
      <c r="A12" s="6" t="s">
        <v>4233</v>
      </c>
      <c r="B12" s="6" t="s">
        <v>4251</v>
      </c>
      <c r="C12" s="4" t="s">
        <v>4252</v>
      </c>
      <c r="D12" s="9" t="s">
        <v>4253</v>
      </c>
    </row>
    <row r="13" spans="1:4" x14ac:dyDescent="0.3">
      <c r="A13" s="6" t="s">
        <v>4233</v>
      </c>
      <c r="B13" s="6" t="s">
        <v>4254</v>
      </c>
      <c r="C13" s="4" t="s">
        <v>4255</v>
      </c>
      <c r="D13" s="9" t="s">
        <v>4256</v>
      </c>
    </row>
    <row r="14" spans="1:4" ht="36" x14ac:dyDescent="0.3">
      <c r="A14" s="6" t="s">
        <v>4233</v>
      </c>
      <c r="B14" s="6" t="s">
        <v>4257</v>
      </c>
      <c r="C14" s="4" t="s">
        <v>4258</v>
      </c>
      <c r="D14" s="9" t="s">
        <v>4259</v>
      </c>
    </row>
    <row r="15" spans="1:4" x14ac:dyDescent="0.3">
      <c r="A15" s="6" t="s">
        <v>4233</v>
      </c>
      <c r="B15" s="6" t="s">
        <v>4260</v>
      </c>
      <c r="C15" s="4" t="s">
        <v>4261</v>
      </c>
      <c r="D15" s="9" t="s">
        <v>4262</v>
      </c>
    </row>
    <row r="16" spans="1:4" x14ac:dyDescent="0.3">
      <c r="A16" s="6" t="s">
        <v>4233</v>
      </c>
      <c r="B16" s="6" t="s">
        <v>4263</v>
      </c>
      <c r="C16" s="4" t="s">
        <v>4264</v>
      </c>
      <c r="D16" s="9" t="s">
        <v>4265</v>
      </c>
    </row>
    <row r="17" spans="1:4" ht="24" x14ac:dyDescent="0.3">
      <c r="A17" s="6" t="s">
        <v>4233</v>
      </c>
      <c r="B17" s="6" t="s">
        <v>4266</v>
      </c>
      <c r="C17" s="4" t="s">
        <v>4267</v>
      </c>
      <c r="D17" s="9" t="s">
        <v>4268</v>
      </c>
    </row>
    <row r="18" spans="1:4" x14ac:dyDescent="0.3">
      <c r="A18" s="6" t="s">
        <v>4233</v>
      </c>
      <c r="B18" s="6" t="s">
        <v>4269</v>
      </c>
      <c r="C18" s="4" t="s">
        <v>4270</v>
      </c>
      <c r="D18" s="9" t="s">
        <v>4271</v>
      </c>
    </row>
    <row r="19" spans="1:4" ht="24" x14ac:dyDescent="0.3">
      <c r="A19" s="6" t="s">
        <v>4233</v>
      </c>
      <c r="B19" s="6" t="s">
        <v>4272</v>
      </c>
      <c r="C19" s="4" t="s">
        <v>4273</v>
      </c>
      <c r="D19" s="9" t="s">
        <v>4274</v>
      </c>
    </row>
    <row r="20" spans="1:4" x14ac:dyDescent="0.3">
      <c r="A20" s="6" t="s">
        <v>4233</v>
      </c>
      <c r="B20" s="6" t="s">
        <v>4275</v>
      </c>
      <c r="C20" s="4" t="s">
        <v>4276</v>
      </c>
      <c r="D20" s="9" t="s">
        <v>4277</v>
      </c>
    </row>
    <row r="21" spans="1:4" x14ac:dyDescent="0.3">
      <c r="A21" s="6" t="s">
        <v>4233</v>
      </c>
      <c r="B21" s="6" t="s">
        <v>4278</v>
      </c>
      <c r="C21" s="4" t="s">
        <v>4279</v>
      </c>
      <c r="D21" s="9" t="s">
        <v>4280</v>
      </c>
    </row>
    <row r="22" spans="1:4" x14ac:dyDescent="0.3">
      <c r="A22" s="6" t="s">
        <v>4233</v>
      </c>
      <c r="B22" s="6" t="s">
        <v>4281</v>
      </c>
      <c r="C22" s="4" t="s">
        <v>4282</v>
      </c>
      <c r="D22" s="9" t="s">
        <v>4283</v>
      </c>
    </row>
    <row r="23" spans="1:4" ht="24" x14ac:dyDescent="0.3">
      <c r="A23" s="6" t="s">
        <v>4233</v>
      </c>
      <c r="B23" s="6" t="s">
        <v>4284</v>
      </c>
      <c r="C23" s="4" t="s">
        <v>4285</v>
      </c>
      <c r="D23" s="9" t="s">
        <v>4286</v>
      </c>
    </row>
    <row r="24" spans="1:4" x14ac:dyDescent="0.3">
      <c r="A24" s="6" t="s">
        <v>4233</v>
      </c>
      <c r="B24" s="6" t="s">
        <v>4287</v>
      </c>
      <c r="C24" s="4" t="s">
        <v>4288</v>
      </c>
      <c r="D24" s="9" t="s">
        <v>4289</v>
      </c>
    </row>
    <row r="25" spans="1:4" x14ac:dyDescent="0.3">
      <c r="A25" s="6" t="s">
        <v>4233</v>
      </c>
      <c r="B25" s="6" t="s">
        <v>4290</v>
      </c>
      <c r="C25" s="4" t="s">
        <v>4291</v>
      </c>
      <c r="D25" s="9" t="s">
        <v>4292</v>
      </c>
    </row>
    <row r="26" spans="1:4" ht="24" x14ac:dyDescent="0.3">
      <c r="A26" s="6" t="s">
        <v>4233</v>
      </c>
      <c r="B26" s="6" t="s">
        <v>4293</v>
      </c>
      <c r="C26" s="4" t="s">
        <v>4294</v>
      </c>
      <c r="D26" s="9" t="s">
        <v>4295</v>
      </c>
    </row>
    <row r="27" spans="1:4" x14ac:dyDescent="0.3">
      <c r="A27" s="6" t="s">
        <v>4233</v>
      </c>
      <c r="B27" s="6" t="s">
        <v>4296</v>
      </c>
      <c r="C27" s="4" t="s">
        <v>4297</v>
      </c>
      <c r="D27" s="9" t="s">
        <v>4298</v>
      </c>
    </row>
    <row r="28" spans="1:4" x14ac:dyDescent="0.3">
      <c r="A28" s="6" t="s">
        <v>4233</v>
      </c>
      <c r="B28" s="6" t="s">
        <v>4299</v>
      </c>
      <c r="C28" s="4" t="s">
        <v>4300</v>
      </c>
      <c r="D28" s="9" t="s">
        <v>4301</v>
      </c>
    </row>
    <row r="29" spans="1:4" x14ac:dyDescent="0.3">
      <c r="A29" s="6" t="s">
        <v>4233</v>
      </c>
      <c r="B29" s="6" t="s">
        <v>4302</v>
      </c>
      <c r="C29" s="4" t="s">
        <v>4303</v>
      </c>
      <c r="D29" s="9" t="s">
        <v>4304</v>
      </c>
    </row>
    <row r="30" spans="1:4" ht="24" x14ac:dyDescent="0.3">
      <c r="A30" s="6" t="s">
        <v>4233</v>
      </c>
      <c r="B30" s="6" t="s">
        <v>4305</v>
      </c>
      <c r="C30" s="4" t="s">
        <v>4306</v>
      </c>
      <c r="D30" s="9" t="s">
        <v>3557</v>
      </c>
    </row>
    <row r="31" spans="1:4" x14ac:dyDescent="0.3">
      <c r="A31" s="6" t="s">
        <v>4233</v>
      </c>
      <c r="B31" s="6" t="s">
        <v>4307</v>
      </c>
      <c r="C31" s="4" t="s">
        <v>4308</v>
      </c>
      <c r="D31" s="9" t="s">
        <v>4309</v>
      </c>
    </row>
    <row r="32" spans="1:4" x14ac:dyDescent="0.3">
      <c r="A32" s="6" t="s">
        <v>4233</v>
      </c>
      <c r="B32" s="6" t="s">
        <v>4310</v>
      </c>
      <c r="C32" s="4" t="s">
        <v>4311</v>
      </c>
      <c r="D32" s="9" t="s">
        <v>4019</v>
      </c>
    </row>
    <row r="33" spans="1:4" ht="24" x14ac:dyDescent="0.3">
      <c r="A33" s="6" t="s">
        <v>4233</v>
      </c>
      <c r="B33" s="6" t="s">
        <v>4312</v>
      </c>
      <c r="C33" s="4" t="s">
        <v>4313</v>
      </c>
      <c r="D33" s="9" t="s">
        <v>4314</v>
      </c>
    </row>
    <row r="34" spans="1:4" ht="24" x14ac:dyDescent="0.3">
      <c r="A34" s="6" t="s">
        <v>4233</v>
      </c>
      <c r="B34" s="6" t="s">
        <v>4315</v>
      </c>
      <c r="C34" s="4" t="s">
        <v>4316</v>
      </c>
      <c r="D34" s="9" t="s">
        <v>4317</v>
      </c>
    </row>
    <row r="35" spans="1:4" x14ac:dyDescent="0.3">
      <c r="A35" s="6" t="s">
        <v>4233</v>
      </c>
      <c r="B35" s="6" t="s">
        <v>4318</v>
      </c>
      <c r="C35" s="4" t="s">
        <v>4319</v>
      </c>
      <c r="D35" s="9" t="s">
        <v>4320</v>
      </c>
    </row>
    <row r="36" spans="1:4" x14ac:dyDescent="0.3">
      <c r="A36" s="6" t="s">
        <v>4233</v>
      </c>
      <c r="B36" s="6" t="s">
        <v>4321</v>
      </c>
      <c r="C36" s="4" t="s">
        <v>4322</v>
      </c>
      <c r="D36" s="9" t="s">
        <v>4323</v>
      </c>
    </row>
    <row r="37" spans="1:4" x14ac:dyDescent="0.3">
      <c r="A37" s="6" t="s">
        <v>4233</v>
      </c>
      <c r="B37" s="6" t="s">
        <v>4324</v>
      </c>
      <c r="C37" s="4" t="s">
        <v>4325</v>
      </c>
      <c r="D37" s="9" t="s">
        <v>3767</v>
      </c>
    </row>
    <row r="38" spans="1:4" ht="24" x14ac:dyDescent="0.3">
      <c r="A38" s="6" t="s">
        <v>4233</v>
      </c>
      <c r="B38" s="6" t="s">
        <v>4326</v>
      </c>
      <c r="C38" s="4" t="s">
        <v>4327</v>
      </c>
      <c r="D38" s="9" t="s">
        <v>3654</v>
      </c>
    </row>
    <row r="39" spans="1:4" x14ac:dyDescent="0.3">
      <c r="A39" s="6" t="s">
        <v>4233</v>
      </c>
      <c r="B39" s="6" t="s">
        <v>4328</v>
      </c>
      <c r="C39" s="4" t="s">
        <v>4329</v>
      </c>
      <c r="D39" s="9" t="s">
        <v>4330</v>
      </c>
    </row>
    <row r="40" spans="1:4" ht="24" x14ac:dyDescent="0.3">
      <c r="A40" s="6" t="s">
        <v>4233</v>
      </c>
      <c r="B40" s="6" t="s">
        <v>4331</v>
      </c>
      <c r="C40" s="4" t="s">
        <v>4332</v>
      </c>
      <c r="D40" s="9" t="s">
        <v>4333</v>
      </c>
    </row>
    <row r="41" spans="1:4" x14ac:dyDescent="0.3">
      <c r="A41" s="6" t="s">
        <v>4233</v>
      </c>
      <c r="B41" s="6" t="s">
        <v>4334</v>
      </c>
      <c r="C41" s="4" t="s">
        <v>4335</v>
      </c>
      <c r="D41" s="9" t="s">
        <v>3274</v>
      </c>
    </row>
    <row r="42" spans="1:4" x14ac:dyDescent="0.3">
      <c r="A42" s="6" t="s">
        <v>4233</v>
      </c>
      <c r="B42" s="6" t="s">
        <v>4336</v>
      </c>
      <c r="C42" s="4" t="s">
        <v>4337</v>
      </c>
      <c r="D42" s="9" t="s">
        <v>4338</v>
      </c>
    </row>
    <row r="43" spans="1:4" x14ac:dyDescent="0.3">
      <c r="A43" s="6" t="s">
        <v>4233</v>
      </c>
      <c r="B43" s="6" t="s">
        <v>4339</v>
      </c>
      <c r="C43" s="4" t="s">
        <v>4340</v>
      </c>
      <c r="D43" s="9" t="s">
        <v>4341</v>
      </c>
    </row>
    <row r="44" spans="1:4" x14ac:dyDescent="0.3">
      <c r="A44" s="6" t="s">
        <v>4233</v>
      </c>
      <c r="B44" s="6" t="s">
        <v>4342</v>
      </c>
      <c r="C44" s="4" t="s">
        <v>4343</v>
      </c>
      <c r="D44" s="9" t="s">
        <v>3783</v>
      </c>
    </row>
    <row r="45" spans="1:4" x14ac:dyDescent="0.3">
      <c r="A45" s="6" t="s">
        <v>4233</v>
      </c>
      <c r="B45" s="6" t="s">
        <v>4344</v>
      </c>
      <c r="C45" s="4" t="s">
        <v>4345</v>
      </c>
      <c r="D45" s="9" t="s">
        <v>3779</v>
      </c>
    </row>
    <row r="46" spans="1:4" x14ac:dyDescent="0.3">
      <c r="A46" s="6" t="s">
        <v>4233</v>
      </c>
      <c r="B46" s="6" t="s">
        <v>4346</v>
      </c>
      <c r="C46" s="4" t="s">
        <v>4347</v>
      </c>
      <c r="D46" s="9" t="s">
        <v>3843</v>
      </c>
    </row>
    <row r="47" spans="1:4" ht="24" x14ac:dyDescent="0.3">
      <c r="A47" s="6" t="s">
        <v>4233</v>
      </c>
      <c r="B47" s="6" t="s">
        <v>4348</v>
      </c>
      <c r="C47" s="4" t="s">
        <v>4349</v>
      </c>
      <c r="D47" s="9" t="s">
        <v>4350</v>
      </c>
    </row>
    <row r="48" spans="1:4" x14ac:dyDescent="0.3">
      <c r="A48" s="6" t="s">
        <v>4233</v>
      </c>
      <c r="B48" s="6" t="s">
        <v>4351</v>
      </c>
      <c r="C48" s="4" t="s">
        <v>4352</v>
      </c>
      <c r="D48" s="9" t="s">
        <v>4353</v>
      </c>
    </row>
    <row r="49" spans="1:4" x14ac:dyDescent="0.3">
      <c r="A49" s="6" t="s">
        <v>4233</v>
      </c>
      <c r="B49" s="6" t="s">
        <v>4354</v>
      </c>
      <c r="C49" s="4" t="s">
        <v>4355</v>
      </c>
      <c r="D49" s="9" t="s">
        <v>4356</v>
      </c>
    </row>
    <row r="50" spans="1:4" x14ac:dyDescent="0.3">
      <c r="A50" s="6" t="s">
        <v>4233</v>
      </c>
      <c r="B50" s="6" t="s">
        <v>4357</v>
      </c>
      <c r="C50" s="4" t="s">
        <v>4358</v>
      </c>
      <c r="D50" s="9" t="s">
        <v>4359</v>
      </c>
    </row>
    <row r="51" spans="1:4" x14ac:dyDescent="0.3">
      <c r="A51" s="6" t="s">
        <v>4233</v>
      </c>
      <c r="B51" s="6" t="s">
        <v>4360</v>
      </c>
      <c r="C51" s="4" t="s">
        <v>4361</v>
      </c>
      <c r="D51" s="9" t="s">
        <v>3870</v>
      </c>
    </row>
    <row r="52" spans="1:4" x14ac:dyDescent="0.3">
      <c r="A52" s="6" t="s">
        <v>4233</v>
      </c>
      <c r="B52" s="6" t="s">
        <v>4362</v>
      </c>
      <c r="C52" s="4" t="s">
        <v>4363</v>
      </c>
      <c r="D52" s="9" t="s">
        <v>4364</v>
      </c>
    </row>
    <row r="53" spans="1:4" ht="24" x14ac:dyDescent="0.3">
      <c r="A53" s="6" t="s">
        <v>4233</v>
      </c>
      <c r="B53" s="6" t="s">
        <v>4365</v>
      </c>
      <c r="C53" s="4" t="s">
        <v>4366</v>
      </c>
      <c r="D53" s="9" t="s">
        <v>4367</v>
      </c>
    </row>
    <row r="54" spans="1:4" x14ac:dyDescent="0.3">
      <c r="A54" s="6" t="s">
        <v>4233</v>
      </c>
      <c r="B54" s="6" t="s">
        <v>4368</v>
      </c>
      <c r="C54" s="4" t="s">
        <v>4369</v>
      </c>
      <c r="D54" s="9" t="s">
        <v>4370</v>
      </c>
    </row>
    <row r="55" spans="1:4" ht="24" x14ac:dyDescent="0.3">
      <c r="A55" s="6" t="s">
        <v>4233</v>
      </c>
      <c r="B55" s="6" t="s">
        <v>4371</v>
      </c>
      <c r="C55" s="4" t="s">
        <v>4372</v>
      </c>
      <c r="D55" s="9" t="s">
        <v>4373</v>
      </c>
    </row>
    <row r="56" spans="1:4" x14ac:dyDescent="0.3">
      <c r="A56" s="6" t="s">
        <v>4233</v>
      </c>
      <c r="B56" s="6" t="s">
        <v>4374</v>
      </c>
      <c r="C56" s="4" t="s">
        <v>4375</v>
      </c>
      <c r="D56" s="9" t="s">
        <v>3934</v>
      </c>
    </row>
    <row r="57" spans="1:4" ht="24" x14ac:dyDescent="0.3">
      <c r="A57" s="6" t="s">
        <v>4233</v>
      </c>
      <c r="B57" s="6" t="s">
        <v>4376</v>
      </c>
      <c r="C57" s="4" t="s">
        <v>4377</v>
      </c>
      <c r="D57" s="9" t="s">
        <v>4378</v>
      </c>
    </row>
    <row r="58" spans="1:4" ht="24" x14ac:dyDescent="0.3">
      <c r="A58" s="6" t="s">
        <v>4233</v>
      </c>
      <c r="B58" s="6" t="s">
        <v>4379</v>
      </c>
      <c r="C58" s="4" t="s">
        <v>4380</v>
      </c>
      <c r="D58" s="9" t="s">
        <v>4381</v>
      </c>
    </row>
    <row r="59" spans="1:4" x14ac:dyDescent="0.3">
      <c r="A59" s="6" t="s">
        <v>4233</v>
      </c>
      <c r="B59" s="6" t="s">
        <v>4382</v>
      </c>
      <c r="C59" s="4" t="s">
        <v>4383</v>
      </c>
      <c r="D59" s="9" t="s">
        <v>4384</v>
      </c>
    </row>
    <row r="60" spans="1:4" x14ac:dyDescent="0.3">
      <c r="A60" s="6" t="s">
        <v>4233</v>
      </c>
      <c r="B60" s="6" t="s">
        <v>4385</v>
      </c>
      <c r="C60" s="4" t="s">
        <v>4386</v>
      </c>
      <c r="D60" s="4" t="s">
        <v>1559</v>
      </c>
    </row>
    <row r="61" spans="1:4" ht="24" x14ac:dyDescent="0.3">
      <c r="A61" s="6" t="s">
        <v>4233</v>
      </c>
      <c r="B61" s="6" t="s">
        <v>4387</v>
      </c>
      <c r="C61" s="4" t="s">
        <v>4388</v>
      </c>
      <c r="D61" s="9" t="s">
        <v>4389</v>
      </c>
    </row>
    <row r="62" spans="1:4" x14ac:dyDescent="0.3">
      <c r="A62" s="6" t="s">
        <v>44</v>
      </c>
      <c r="B62" s="6"/>
      <c r="C62" s="4" t="s">
        <v>4390</v>
      </c>
      <c r="D62" s="9" t="s">
        <v>3206</v>
      </c>
    </row>
    <row r="63" spans="1:4" x14ac:dyDescent="0.3">
      <c r="A63" s="6" t="s">
        <v>44</v>
      </c>
      <c r="B63" s="6"/>
      <c r="C63" s="4" t="s">
        <v>4391</v>
      </c>
      <c r="D63" s="9" t="s">
        <v>4392</v>
      </c>
    </row>
    <row r="64" spans="1:4" x14ac:dyDescent="0.3">
      <c r="A64" s="6" t="s">
        <v>44</v>
      </c>
      <c r="B64" s="6"/>
      <c r="C64" s="4" t="s">
        <v>4393</v>
      </c>
      <c r="D64" s="9" t="s">
        <v>4394</v>
      </c>
    </row>
    <row r="65" spans="1:4" ht="24" x14ac:dyDescent="0.3">
      <c r="A65" s="6" t="s">
        <v>44</v>
      </c>
      <c r="B65" s="6"/>
      <c r="C65" s="4" t="s">
        <v>4395</v>
      </c>
      <c r="D65" s="9" t="s">
        <v>3210</v>
      </c>
    </row>
    <row r="66" spans="1:4" ht="25.5" x14ac:dyDescent="0.3">
      <c r="A66" s="6" t="s">
        <v>44</v>
      </c>
      <c r="B66" s="6"/>
      <c r="C66" s="4" t="s">
        <v>4396</v>
      </c>
      <c r="D66" s="9" t="s">
        <v>3464</v>
      </c>
    </row>
    <row r="67" spans="1:4" ht="25.5" x14ac:dyDescent="0.3">
      <c r="A67" s="6" t="s">
        <v>44</v>
      </c>
      <c r="B67" s="6"/>
      <c r="C67" s="4" t="s">
        <v>4397</v>
      </c>
      <c r="D67" s="9" t="s">
        <v>3468</v>
      </c>
    </row>
    <row r="68" spans="1:4" ht="24" x14ac:dyDescent="0.3">
      <c r="A68" s="6" t="s">
        <v>44</v>
      </c>
      <c r="B68" s="6"/>
      <c r="C68" s="4" t="s">
        <v>4398</v>
      </c>
      <c r="D68" s="9" t="s">
        <v>4399</v>
      </c>
    </row>
    <row r="69" spans="1:4" x14ac:dyDescent="0.3">
      <c r="A69" s="6" t="s">
        <v>44</v>
      </c>
      <c r="B69" s="6"/>
      <c r="C69" s="4" t="s">
        <v>4400</v>
      </c>
      <c r="D69" s="9" t="s">
        <v>4401</v>
      </c>
    </row>
    <row r="70" spans="1:4" x14ac:dyDescent="0.3">
      <c r="A70" s="6" t="s">
        <v>44</v>
      </c>
      <c r="B70" s="6"/>
      <c r="C70" s="4" t="s">
        <v>4402</v>
      </c>
      <c r="D70" s="9" t="s">
        <v>3176</v>
      </c>
    </row>
    <row r="71" spans="1:4" ht="25.5" x14ac:dyDescent="0.3">
      <c r="A71" s="6" t="s">
        <v>44</v>
      </c>
      <c r="B71" s="6"/>
      <c r="C71" s="4" t="s">
        <v>4403</v>
      </c>
      <c r="D71" s="9" t="s">
        <v>3180</v>
      </c>
    </row>
    <row r="72" spans="1:4" x14ac:dyDescent="0.3">
      <c r="A72" s="6" t="s">
        <v>44</v>
      </c>
      <c r="B72" s="6"/>
      <c r="C72" s="4" t="s">
        <v>4404</v>
      </c>
      <c r="D72" s="9" t="s">
        <v>4405</v>
      </c>
    </row>
    <row r="73" spans="1:4" x14ac:dyDescent="0.3">
      <c r="A73" s="6" t="s">
        <v>44</v>
      </c>
      <c r="B73" s="6"/>
      <c r="C73" s="4" t="s">
        <v>4406</v>
      </c>
      <c r="D73" s="9" t="s">
        <v>4407</v>
      </c>
    </row>
    <row r="74" spans="1:4" x14ac:dyDescent="0.3">
      <c r="A74" s="6" t="s">
        <v>44</v>
      </c>
      <c r="B74" s="6"/>
      <c r="C74" s="4" t="s">
        <v>4408</v>
      </c>
      <c r="D74" s="9" t="s">
        <v>3188</v>
      </c>
    </row>
    <row r="75" spans="1:4" x14ac:dyDescent="0.3">
      <c r="A75" s="6" t="s">
        <v>44</v>
      </c>
      <c r="B75" s="6"/>
      <c r="C75" s="4" t="s">
        <v>4409</v>
      </c>
      <c r="D75" s="9" t="s">
        <v>3452</v>
      </c>
    </row>
    <row r="76" spans="1:4" x14ac:dyDescent="0.3">
      <c r="A76" s="6" t="s">
        <v>44</v>
      </c>
      <c r="B76" s="6"/>
      <c r="C76" s="4" t="s">
        <v>4410</v>
      </c>
      <c r="D76" s="9" t="s">
        <v>3456</v>
      </c>
    </row>
    <row r="77" spans="1:4" x14ac:dyDescent="0.3">
      <c r="A77" s="6" t="s">
        <v>44</v>
      </c>
      <c r="B77" s="6"/>
      <c r="C77" s="4" t="s">
        <v>4411</v>
      </c>
      <c r="D77" s="9" t="s">
        <v>4412</v>
      </c>
    </row>
    <row r="78" spans="1:4" x14ac:dyDescent="0.3">
      <c r="A78" s="6" t="s">
        <v>44</v>
      </c>
      <c r="B78" s="6"/>
      <c r="C78" s="4" t="s">
        <v>4413</v>
      </c>
      <c r="D78" s="9" t="s">
        <v>3127</v>
      </c>
    </row>
    <row r="79" spans="1:4" x14ac:dyDescent="0.3">
      <c r="A79" s="6" t="s">
        <v>44</v>
      </c>
      <c r="B79" s="6"/>
      <c r="C79" s="4" t="s">
        <v>4414</v>
      </c>
      <c r="D79" s="9" t="s">
        <v>4415</v>
      </c>
    </row>
    <row r="80" spans="1:4" x14ac:dyDescent="0.3">
      <c r="A80" s="6" t="s">
        <v>44</v>
      </c>
      <c r="B80" s="6"/>
      <c r="C80" s="4" t="s">
        <v>4416</v>
      </c>
      <c r="D80" s="9" t="s">
        <v>4417</v>
      </c>
    </row>
    <row r="81" spans="1:4" x14ac:dyDescent="0.3">
      <c r="A81" s="6" t="s">
        <v>44</v>
      </c>
      <c r="B81" s="6"/>
      <c r="C81" s="4" t="s">
        <v>4418</v>
      </c>
      <c r="D81" s="9" t="s">
        <v>3460</v>
      </c>
    </row>
    <row r="82" spans="1:4" x14ac:dyDescent="0.3">
      <c r="A82" s="6" t="s">
        <v>44</v>
      </c>
      <c r="B82" s="6"/>
      <c r="C82" s="4" t="s">
        <v>4419</v>
      </c>
      <c r="D82" s="9" t="s">
        <v>3338</v>
      </c>
    </row>
    <row r="83" spans="1:4" x14ac:dyDescent="0.3">
      <c r="A83" s="6" t="s">
        <v>44</v>
      </c>
      <c r="B83" s="6"/>
      <c r="C83" s="4" t="s">
        <v>4420</v>
      </c>
      <c r="D83" s="9" t="s">
        <v>3475</v>
      </c>
    </row>
    <row r="84" spans="1:4" x14ac:dyDescent="0.3">
      <c r="A84" s="6" t="s">
        <v>44</v>
      </c>
      <c r="B84" s="6"/>
      <c r="C84" s="4" t="s">
        <v>4421</v>
      </c>
      <c r="D84" s="9" t="s">
        <v>3489</v>
      </c>
    </row>
    <row r="85" spans="1:4" x14ac:dyDescent="0.3">
      <c r="A85" s="6" t="s">
        <v>44</v>
      </c>
      <c r="B85" s="6"/>
      <c r="C85" s="4" t="s">
        <v>4422</v>
      </c>
      <c r="D85" s="9" t="s">
        <v>3199</v>
      </c>
    </row>
    <row r="86" spans="1:4" x14ac:dyDescent="0.3">
      <c r="A86" s="6" t="s">
        <v>44</v>
      </c>
      <c r="B86" s="6"/>
      <c r="C86" s="4" t="s">
        <v>4423</v>
      </c>
      <c r="D86" s="9" t="s">
        <v>3497</v>
      </c>
    </row>
    <row r="87" spans="1:4" x14ac:dyDescent="0.3">
      <c r="A87" s="6" t="s">
        <v>44</v>
      </c>
      <c r="B87" s="6"/>
      <c r="C87" s="4" t="s">
        <v>4424</v>
      </c>
      <c r="D87" s="9" t="s">
        <v>3139</v>
      </c>
    </row>
    <row r="88" spans="1:4" ht="25.5" x14ac:dyDescent="0.3">
      <c r="A88" s="6" t="s">
        <v>44</v>
      </c>
      <c r="B88" s="6"/>
      <c r="C88" s="4" t="s">
        <v>4425</v>
      </c>
      <c r="D88" s="9" t="s">
        <v>3485</v>
      </c>
    </row>
    <row r="89" spans="1:4" x14ac:dyDescent="0.3">
      <c r="A89" s="6" t="s">
        <v>44</v>
      </c>
      <c r="B89" s="6"/>
      <c r="C89" s="4" t="s">
        <v>4426</v>
      </c>
      <c r="D89" s="9" t="s">
        <v>4427</v>
      </c>
    </row>
    <row r="90" spans="1:4" ht="25.5" x14ac:dyDescent="0.3">
      <c r="A90" s="6" t="s">
        <v>44</v>
      </c>
      <c r="B90" s="6"/>
      <c r="C90" s="4" t="s">
        <v>4428</v>
      </c>
      <c r="D90" s="9" t="s">
        <v>3192</v>
      </c>
    </row>
    <row r="91" spans="1:4" x14ac:dyDescent="0.3">
      <c r="A91" s="6" t="s">
        <v>44</v>
      </c>
      <c r="B91" s="6"/>
      <c r="C91" s="4" t="s">
        <v>4429</v>
      </c>
      <c r="D91" s="9" t="s">
        <v>3493</v>
      </c>
    </row>
    <row r="92" spans="1:4" x14ac:dyDescent="0.3">
      <c r="A92" s="6" t="s">
        <v>44</v>
      </c>
      <c r="B92" s="6"/>
      <c r="C92" s="4" t="s">
        <v>4430</v>
      </c>
      <c r="D92" s="9" t="s">
        <v>4431</v>
      </c>
    </row>
    <row r="93" spans="1:4" x14ac:dyDescent="0.3">
      <c r="A93" s="6" t="s">
        <v>44</v>
      </c>
      <c r="B93" s="6"/>
      <c r="C93" s="4" t="s">
        <v>4432</v>
      </c>
      <c r="D93" s="9" t="s">
        <v>4433</v>
      </c>
    </row>
    <row r="94" spans="1:4" x14ac:dyDescent="0.3">
      <c r="A94" s="6" t="s">
        <v>44</v>
      </c>
      <c r="B94" s="6"/>
      <c r="C94" s="4" t="s">
        <v>4434</v>
      </c>
      <c r="D94" s="9" t="s">
        <v>4435</v>
      </c>
    </row>
    <row r="95" spans="1:4" x14ac:dyDescent="0.3">
      <c r="A95" s="6" t="s">
        <v>45</v>
      </c>
      <c r="B95" s="6"/>
      <c r="C95" s="4" t="s">
        <v>4436</v>
      </c>
      <c r="D95" s="9" t="s">
        <v>3541</v>
      </c>
    </row>
    <row r="96" spans="1:4" x14ac:dyDescent="0.3">
      <c r="A96" s="6" t="s">
        <v>45</v>
      </c>
      <c r="B96" s="6"/>
      <c r="C96" s="4" t="s">
        <v>4437</v>
      </c>
      <c r="D96" s="9" t="s">
        <v>3545</v>
      </c>
    </row>
    <row r="97" spans="1:4" x14ac:dyDescent="0.3">
      <c r="A97" s="6" t="s">
        <v>45</v>
      </c>
      <c r="B97" s="6"/>
      <c r="C97" s="4" t="s">
        <v>4438</v>
      </c>
      <c r="D97" s="9" t="s">
        <v>3549</v>
      </c>
    </row>
    <row r="98" spans="1:4" x14ac:dyDescent="0.3">
      <c r="A98" s="6" t="s">
        <v>45</v>
      </c>
      <c r="B98" s="6"/>
      <c r="C98" s="4" t="s">
        <v>4439</v>
      </c>
      <c r="D98" s="9" t="s">
        <v>4440</v>
      </c>
    </row>
    <row r="99" spans="1:4" x14ac:dyDescent="0.3">
      <c r="A99" s="6" t="s">
        <v>45</v>
      </c>
      <c r="B99" s="6"/>
      <c r="C99" s="4" t="s">
        <v>4441</v>
      </c>
      <c r="D99" s="9" t="s">
        <v>3553</v>
      </c>
    </row>
    <row r="100" spans="1:4" x14ac:dyDescent="0.3">
      <c r="A100" s="6" t="s">
        <v>45</v>
      </c>
      <c r="B100" s="6"/>
      <c r="C100" s="4" t="s">
        <v>4442</v>
      </c>
      <c r="D100" s="9" t="s">
        <v>3534</v>
      </c>
    </row>
    <row r="101" spans="1:4" x14ac:dyDescent="0.3">
      <c r="A101" s="6" t="s">
        <v>45</v>
      </c>
      <c r="B101" s="6"/>
      <c r="C101" s="4" t="s">
        <v>4443</v>
      </c>
      <c r="D101" s="9" t="s">
        <v>4444</v>
      </c>
    </row>
    <row r="102" spans="1:4" ht="24" x14ac:dyDescent="0.3">
      <c r="A102" s="6" t="s">
        <v>45</v>
      </c>
      <c r="B102" s="6"/>
      <c r="C102" s="4" t="s">
        <v>4445</v>
      </c>
      <c r="D102" s="9" t="s">
        <v>3530</v>
      </c>
    </row>
    <row r="103" spans="1:4" ht="24" x14ac:dyDescent="0.3">
      <c r="A103" s="6" t="s">
        <v>45</v>
      </c>
      <c r="B103" s="6"/>
      <c r="C103" s="4" t="s">
        <v>4446</v>
      </c>
      <c r="D103" s="9" t="s">
        <v>3557</v>
      </c>
    </row>
    <row r="104" spans="1:4" ht="25.5" x14ac:dyDescent="0.3">
      <c r="A104" s="6" t="s">
        <v>45</v>
      </c>
      <c r="B104" s="6"/>
      <c r="C104" s="4" t="s">
        <v>4447</v>
      </c>
      <c r="D104" s="9" t="s">
        <v>3583</v>
      </c>
    </row>
    <row r="105" spans="1:4" ht="25.5" x14ac:dyDescent="0.3">
      <c r="A105" s="6" t="s">
        <v>45</v>
      </c>
      <c r="B105" s="6"/>
      <c r="C105" s="4" t="s">
        <v>4448</v>
      </c>
      <c r="D105" s="9" t="s">
        <v>3587</v>
      </c>
    </row>
    <row r="106" spans="1:4" ht="25.5" x14ac:dyDescent="0.3">
      <c r="A106" s="6" t="s">
        <v>45</v>
      </c>
      <c r="B106" s="6"/>
      <c r="C106" s="4" t="s">
        <v>4449</v>
      </c>
      <c r="D106" s="9" t="s">
        <v>3572</v>
      </c>
    </row>
    <row r="107" spans="1:4" ht="25.5" x14ac:dyDescent="0.3">
      <c r="A107" s="6" t="s">
        <v>45</v>
      </c>
      <c r="B107" s="6"/>
      <c r="C107" s="4" t="s">
        <v>4450</v>
      </c>
      <c r="D107" s="9" t="s">
        <v>3575</v>
      </c>
    </row>
    <row r="108" spans="1:4" ht="25.5" x14ac:dyDescent="0.3">
      <c r="A108" s="6" t="s">
        <v>45</v>
      </c>
      <c r="B108" s="6"/>
      <c r="C108" s="4" t="s">
        <v>4451</v>
      </c>
      <c r="D108" s="9" t="s">
        <v>3579</v>
      </c>
    </row>
    <row r="109" spans="1:4" ht="25.5" x14ac:dyDescent="0.3">
      <c r="A109" s="6" t="s">
        <v>45</v>
      </c>
      <c r="B109" s="6"/>
      <c r="C109" s="4" t="s">
        <v>4452</v>
      </c>
      <c r="D109" s="9" t="s">
        <v>3605</v>
      </c>
    </row>
    <row r="110" spans="1:4" ht="25.5" x14ac:dyDescent="0.3">
      <c r="A110" s="6" t="s">
        <v>45</v>
      </c>
      <c r="B110" s="6"/>
      <c r="C110" s="4" t="s">
        <v>4453</v>
      </c>
      <c r="D110" s="9" t="s">
        <v>3609</v>
      </c>
    </row>
    <row r="111" spans="1:4" ht="24" x14ac:dyDescent="0.3">
      <c r="A111" s="6" t="s">
        <v>45</v>
      </c>
      <c r="B111" s="6"/>
      <c r="C111" s="4" t="s">
        <v>4454</v>
      </c>
      <c r="D111" s="9" t="s">
        <v>3564</v>
      </c>
    </row>
    <row r="112" spans="1:4" x14ac:dyDescent="0.3">
      <c r="A112" s="6" t="s">
        <v>45</v>
      </c>
      <c r="B112" s="6"/>
      <c r="C112" s="4" t="s">
        <v>4455</v>
      </c>
      <c r="D112" s="9" t="s">
        <v>3568</v>
      </c>
    </row>
    <row r="113" spans="1:4" ht="24" x14ac:dyDescent="0.3">
      <c r="A113" s="6" t="s">
        <v>45</v>
      </c>
      <c r="B113" s="6"/>
      <c r="C113" s="4" t="s">
        <v>4456</v>
      </c>
      <c r="D113" s="9" t="s">
        <v>3152</v>
      </c>
    </row>
    <row r="114" spans="1:4" ht="25.5" x14ac:dyDescent="0.3">
      <c r="A114" s="6" t="s">
        <v>45</v>
      </c>
      <c r="B114" s="6"/>
      <c r="C114" s="4" t="s">
        <v>4457</v>
      </c>
      <c r="D114" s="9" t="s">
        <v>3148</v>
      </c>
    </row>
    <row r="115" spans="1:4" ht="25.5" x14ac:dyDescent="0.3">
      <c r="A115" s="6" t="s">
        <v>45</v>
      </c>
      <c r="B115" s="6"/>
      <c r="C115" s="4" t="s">
        <v>4458</v>
      </c>
      <c r="D115" s="9" t="s">
        <v>3214</v>
      </c>
    </row>
    <row r="116" spans="1:4" x14ac:dyDescent="0.3">
      <c r="A116" s="6" t="s">
        <v>45</v>
      </c>
      <c r="B116" s="6"/>
      <c r="C116" s="4" t="s">
        <v>4459</v>
      </c>
      <c r="D116" s="9" t="s">
        <v>4460</v>
      </c>
    </row>
    <row r="117" spans="1:4" ht="25.5" x14ac:dyDescent="0.3">
      <c r="A117" s="6" t="s">
        <v>45</v>
      </c>
      <c r="B117" s="6"/>
      <c r="C117" s="4" t="s">
        <v>4461</v>
      </c>
      <c r="D117" s="9" t="s">
        <v>4462</v>
      </c>
    </row>
    <row r="118" spans="1:4" x14ac:dyDescent="0.3">
      <c r="A118" s="6" t="s">
        <v>45</v>
      </c>
      <c r="B118" s="6"/>
      <c r="C118" s="4" t="s">
        <v>4463</v>
      </c>
      <c r="D118" s="9" t="s">
        <v>4464</v>
      </c>
    </row>
    <row r="119" spans="1:4" ht="25.5" x14ac:dyDescent="0.3">
      <c r="A119" s="6" t="s">
        <v>45</v>
      </c>
      <c r="B119" s="6"/>
      <c r="C119" s="4" t="s">
        <v>4465</v>
      </c>
      <c r="D119" s="9" t="s">
        <v>4466</v>
      </c>
    </row>
    <row r="120" spans="1:4" ht="25.5" x14ac:dyDescent="0.3">
      <c r="A120" s="6" t="s">
        <v>45</v>
      </c>
      <c r="B120" s="6"/>
      <c r="C120" s="4" t="s">
        <v>4467</v>
      </c>
      <c r="D120" s="9" t="s">
        <v>4468</v>
      </c>
    </row>
    <row r="121" spans="1:4" ht="25.5" x14ac:dyDescent="0.3">
      <c r="A121" s="6" t="s">
        <v>45</v>
      </c>
      <c r="B121" s="6"/>
      <c r="C121" s="4" t="s">
        <v>4469</v>
      </c>
      <c r="D121" s="9" t="s">
        <v>4470</v>
      </c>
    </row>
    <row r="122" spans="1:4" ht="25.5" x14ac:dyDescent="0.3">
      <c r="A122" s="6" t="s">
        <v>45</v>
      </c>
      <c r="B122" s="6"/>
      <c r="C122" s="4" t="s">
        <v>4471</v>
      </c>
      <c r="D122" s="9" t="s">
        <v>3218</v>
      </c>
    </row>
    <row r="123" spans="1:4" ht="25.5" x14ac:dyDescent="0.3">
      <c r="A123" s="6" t="s">
        <v>45</v>
      </c>
      <c r="B123" s="6"/>
      <c r="C123" s="4" t="s">
        <v>4472</v>
      </c>
      <c r="D123" s="9" t="s">
        <v>4473</v>
      </c>
    </row>
    <row r="124" spans="1:4" x14ac:dyDescent="0.3">
      <c r="A124" s="6" t="s">
        <v>45</v>
      </c>
      <c r="B124" s="6"/>
      <c r="C124" s="4" t="s">
        <v>4474</v>
      </c>
      <c r="D124" s="9" t="s">
        <v>4475</v>
      </c>
    </row>
    <row r="125" spans="1:4" x14ac:dyDescent="0.3">
      <c r="A125" s="6" t="s">
        <v>45</v>
      </c>
      <c r="B125" s="6"/>
      <c r="C125" s="4" t="s">
        <v>4476</v>
      </c>
      <c r="D125" s="9" t="s">
        <v>4477</v>
      </c>
    </row>
    <row r="126" spans="1:4" ht="25.5" x14ac:dyDescent="0.3">
      <c r="A126" s="6" t="s">
        <v>45</v>
      </c>
      <c r="B126" s="6"/>
      <c r="C126" s="4" t="s">
        <v>4478</v>
      </c>
      <c r="D126" s="9" t="s">
        <v>4479</v>
      </c>
    </row>
    <row r="127" spans="1:4" x14ac:dyDescent="0.3">
      <c r="A127" s="6" t="s">
        <v>45</v>
      </c>
      <c r="B127" s="6"/>
      <c r="C127" s="4" t="s">
        <v>4480</v>
      </c>
      <c r="D127" s="9" t="s">
        <v>4481</v>
      </c>
    </row>
    <row r="128" spans="1:4" x14ac:dyDescent="0.3">
      <c r="A128" s="6" t="s">
        <v>45</v>
      </c>
      <c r="B128" s="6"/>
      <c r="C128" s="4" t="s">
        <v>4482</v>
      </c>
      <c r="D128" s="9" t="s">
        <v>4483</v>
      </c>
    </row>
    <row r="129" spans="1:4" x14ac:dyDescent="0.3">
      <c r="A129" s="6" t="s">
        <v>45</v>
      </c>
      <c r="B129" s="6"/>
      <c r="C129" s="4" t="s">
        <v>4484</v>
      </c>
      <c r="D129" s="9" t="s">
        <v>3595</v>
      </c>
    </row>
    <row r="130" spans="1:4" ht="25.5" x14ac:dyDescent="0.3">
      <c r="A130" s="6" t="s">
        <v>45</v>
      </c>
      <c r="B130" s="6"/>
      <c r="C130" s="4" t="s">
        <v>4485</v>
      </c>
      <c r="D130" s="9" t="s">
        <v>3591</v>
      </c>
    </row>
    <row r="131" spans="1:4" ht="25.5" x14ac:dyDescent="0.3">
      <c r="A131" s="6" t="s">
        <v>45</v>
      </c>
      <c r="B131" s="6"/>
      <c r="C131" s="4" t="s">
        <v>4486</v>
      </c>
      <c r="D131" s="9" t="s">
        <v>4487</v>
      </c>
    </row>
    <row r="132" spans="1:4" x14ac:dyDescent="0.3">
      <c r="A132" s="6" t="s">
        <v>45</v>
      </c>
      <c r="B132" s="6"/>
      <c r="C132" s="4" t="s">
        <v>4488</v>
      </c>
      <c r="D132" s="9" t="s">
        <v>4489</v>
      </c>
    </row>
    <row r="133" spans="1:4" ht="24" x14ac:dyDescent="0.3">
      <c r="A133" s="6" t="s">
        <v>45</v>
      </c>
      <c r="B133" s="6"/>
      <c r="C133" s="4" t="s">
        <v>4490</v>
      </c>
      <c r="D133" s="9" t="s">
        <v>3628</v>
      </c>
    </row>
    <row r="134" spans="1:4" x14ac:dyDescent="0.3">
      <c r="A134" s="6" t="s">
        <v>45</v>
      </c>
      <c r="B134" s="6"/>
      <c r="C134" s="4" t="s">
        <v>4491</v>
      </c>
      <c r="D134" s="9" t="s">
        <v>3632</v>
      </c>
    </row>
    <row r="135" spans="1:4" ht="25.5" x14ac:dyDescent="0.3">
      <c r="A135" s="6" t="s">
        <v>45</v>
      </c>
      <c r="B135" s="6"/>
      <c r="C135" s="4" t="s">
        <v>4492</v>
      </c>
      <c r="D135" s="9" t="s">
        <v>4493</v>
      </c>
    </row>
    <row r="136" spans="1:4" ht="24" x14ac:dyDescent="0.3">
      <c r="A136" s="6" t="s">
        <v>45</v>
      </c>
      <c r="B136" s="6"/>
      <c r="C136" s="4" t="s">
        <v>4494</v>
      </c>
      <c r="D136" s="9" t="s">
        <v>4495</v>
      </c>
    </row>
    <row r="137" spans="1:4" ht="25.5" x14ac:dyDescent="0.3">
      <c r="A137" s="6" t="s">
        <v>46</v>
      </c>
      <c r="B137" s="6"/>
      <c r="C137" s="4" t="s">
        <v>4496</v>
      </c>
      <c r="D137" s="9" t="s">
        <v>3654</v>
      </c>
    </row>
    <row r="138" spans="1:4" x14ac:dyDescent="0.3">
      <c r="A138" s="6" t="s">
        <v>46</v>
      </c>
      <c r="B138" s="6"/>
      <c r="C138" s="4" t="s">
        <v>4497</v>
      </c>
      <c r="D138" s="9" t="s">
        <v>4498</v>
      </c>
    </row>
    <row r="139" spans="1:4" ht="25.5" x14ac:dyDescent="0.3">
      <c r="A139" s="6" t="s">
        <v>46</v>
      </c>
      <c r="B139" s="6"/>
      <c r="C139" s="4" t="s">
        <v>4499</v>
      </c>
      <c r="D139" s="9" t="s">
        <v>3661</v>
      </c>
    </row>
    <row r="140" spans="1:4" ht="25.5" x14ac:dyDescent="0.3">
      <c r="A140" s="6" t="s">
        <v>46</v>
      </c>
      <c r="B140" s="6"/>
      <c r="C140" s="4" t="s">
        <v>4500</v>
      </c>
      <c r="D140" s="9" t="s">
        <v>3222</v>
      </c>
    </row>
    <row r="141" spans="1:4" ht="25.5" x14ac:dyDescent="0.3">
      <c r="A141" s="6" t="s">
        <v>46</v>
      </c>
      <c r="B141" s="6"/>
      <c r="C141" s="4" t="s">
        <v>4501</v>
      </c>
      <c r="D141" s="9" t="s">
        <v>3665</v>
      </c>
    </row>
    <row r="142" spans="1:4" x14ac:dyDescent="0.3">
      <c r="A142" s="6" t="s">
        <v>46</v>
      </c>
      <c r="B142" s="6"/>
      <c r="C142" s="4" t="s">
        <v>4502</v>
      </c>
      <c r="D142" s="9" t="s">
        <v>4503</v>
      </c>
    </row>
    <row r="143" spans="1:4" ht="25.5" x14ac:dyDescent="0.3">
      <c r="A143" s="6" t="s">
        <v>46</v>
      </c>
      <c r="B143" s="6"/>
      <c r="C143" s="4" t="s">
        <v>4504</v>
      </c>
      <c r="D143" s="9" t="s">
        <v>3669</v>
      </c>
    </row>
    <row r="144" spans="1:4" x14ac:dyDescent="0.3">
      <c r="A144" s="6" t="s">
        <v>46</v>
      </c>
      <c r="B144" s="6"/>
      <c r="C144" s="4" t="s">
        <v>4505</v>
      </c>
      <c r="D144" s="9" t="s">
        <v>3241</v>
      </c>
    </row>
    <row r="145" spans="1:4" ht="24" x14ac:dyDescent="0.3">
      <c r="A145" s="6" t="s">
        <v>46</v>
      </c>
      <c r="B145" s="6"/>
      <c r="C145" s="4" t="s">
        <v>4506</v>
      </c>
      <c r="D145" s="9" t="s">
        <v>4507</v>
      </c>
    </row>
    <row r="146" spans="1:4" x14ac:dyDescent="0.3">
      <c r="A146" s="6" t="s">
        <v>46</v>
      </c>
      <c r="B146" s="6"/>
      <c r="C146" s="4" t="s">
        <v>4508</v>
      </c>
      <c r="D146" s="9" t="s">
        <v>3679</v>
      </c>
    </row>
    <row r="147" spans="1:4" x14ac:dyDescent="0.3">
      <c r="A147" s="6" t="s">
        <v>46</v>
      </c>
      <c r="B147" s="6"/>
      <c r="C147" s="4" t="s">
        <v>4509</v>
      </c>
      <c r="D147" s="9" t="s">
        <v>4510</v>
      </c>
    </row>
    <row r="148" spans="1:4" x14ac:dyDescent="0.3">
      <c r="A148" s="6" t="s">
        <v>46</v>
      </c>
      <c r="B148" s="6"/>
      <c r="C148" s="4" t="s">
        <v>4511</v>
      </c>
      <c r="D148" s="9" t="s">
        <v>4512</v>
      </c>
    </row>
    <row r="149" spans="1:4" x14ac:dyDescent="0.3">
      <c r="A149" s="6" t="s">
        <v>46</v>
      </c>
      <c r="B149" s="6"/>
      <c r="C149" s="4" t="s">
        <v>4513</v>
      </c>
      <c r="D149" s="9" t="s">
        <v>3226</v>
      </c>
    </row>
    <row r="150" spans="1:4" x14ac:dyDescent="0.3">
      <c r="A150" s="6" t="s">
        <v>46</v>
      </c>
      <c r="B150" s="6"/>
      <c r="C150" s="4" t="s">
        <v>4514</v>
      </c>
      <c r="D150" s="9" t="s">
        <v>3230</v>
      </c>
    </row>
    <row r="151" spans="1:4" x14ac:dyDescent="0.3">
      <c r="A151" s="6" t="s">
        <v>46</v>
      </c>
      <c r="B151" s="6"/>
      <c r="C151" s="4" t="s">
        <v>4515</v>
      </c>
      <c r="D151" s="9" t="s">
        <v>3234</v>
      </c>
    </row>
    <row r="152" spans="1:4" ht="25.5" x14ac:dyDescent="0.3">
      <c r="A152" s="6" t="s">
        <v>46</v>
      </c>
      <c r="B152" s="6"/>
      <c r="C152" s="4" t="s">
        <v>4516</v>
      </c>
      <c r="D152" s="9" t="s">
        <v>4517</v>
      </c>
    </row>
    <row r="153" spans="1:4" x14ac:dyDescent="0.3">
      <c r="A153" s="6" t="s">
        <v>46</v>
      </c>
      <c r="B153" s="6"/>
      <c r="C153" s="4" t="s">
        <v>4518</v>
      </c>
      <c r="D153" s="9" t="s">
        <v>3686</v>
      </c>
    </row>
    <row r="154" spans="1:4" x14ac:dyDescent="0.3">
      <c r="A154" s="6" t="s">
        <v>46</v>
      </c>
      <c r="B154" s="6"/>
      <c r="C154" s="4" t="s">
        <v>4519</v>
      </c>
      <c r="D154" s="9" t="s">
        <v>3690</v>
      </c>
    </row>
    <row r="155" spans="1:4" x14ac:dyDescent="0.3">
      <c r="A155" s="6" t="s">
        <v>46</v>
      </c>
      <c r="B155" s="6"/>
      <c r="C155" s="4" t="s">
        <v>4520</v>
      </c>
      <c r="D155" s="9" t="s">
        <v>4521</v>
      </c>
    </row>
    <row r="156" spans="1:4" x14ac:dyDescent="0.3">
      <c r="A156" s="6" t="s">
        <v>46</v>
      </c>
      <c r="B156" s="6"/>
      <c r="C156" s="4" t="s">
        <v>4522</v>
      </c>
      <c r="D156" s="9" t="s">
        <v>4523</v>
      </c>
    </row>
    <row r="157" spans="1:4" x14ac:dyDescent="0.3">
      <c r="A157" s="6" t="s">
        <v>46</v>
      </c>
      <c r="B157" s="6"/>
      <c r="C157" s="4" t="s">
        <v>4524</v>
      </c>
      <c r="D157" s="9" t="s">
        <v>3694</v>
      </c>
    </row>
    <row r="158" spans="1:4" x14ac:dyDescent="0.3">
      <c r="A158" s="6" t="s">
        <v>46</v>
      </c>
      <c r="B158" s="6"/>
      <c r="C158" s="4" t="s">
        <v>4525</v>
      </c>
      <c r="D158" s="9" t="s">
        <v>4526</v>
      </c>
    </row>
    <row r="159" spans="1:4" x14ac:dyDescent="0.3">
      <c r="A159" s="6" t="s">
        <v>46</v>
      </c>
      <c r="B159" s="6"/>
      <c r="C159" s="4" t="s">
        <v>4527</v>
      </c>
      <c r="D159" s="9" t="s">
        <v>3342</v>
      </c>
    </row>
    <row r="160" spans="1:4" x14ac:dyDescent="0.3">
      <c r="A160" s="6" t="s">
        <v>46</v>
      </c>
      <c r="B160" s="6"/>
      <c r="C160" s="4" t="s">
        <v>4528</v>
      </c>
      <c r="D160" s="9" t="s">
        <v>3701</v>
      </c>
    </row>
    <row r="161" spans="1:4" ht="25.5" x14ac:dyDescent="0.3">
      <c r="A161" s="6" t="s">
        <v>46</v>
      </c>
      <c r="B161" s="6"/>
      <c r="C161" s="4" t="s">
        <v>4529</v>
      </c>
      <c r="D161" s="9" t="s">
        <v>3705</v>
      </c>
    </row>
    <row r="162" spans="1:4" x14ac:dyDescent="0.3">
      <c r="A162" s="6" t="s">
        <v>46</v>
      </c>
      <c r="B162" s="6"/>
      <c r="C162" s="4" t="s">
        <v>4530</v>
      </c>
      <c r="D162" s="9" t="s">
        <v>3981</v>
      </c>
    </row>
    <row r="163" spans="1:4" x14ac:dyDescent="0.3">
      <c r="A163" s="6" t="s">
        <v>46</v>
      </c>
      <c r="B163" s="6"/>
      <c r="C163" s="4" t="s">
        <v>4531</v>
      </c>
      <c r="D163" s="9" t="s">
        <v>3709</v>
      </c>
    </row>
    <row r="164" spans="1:4" ht="25.5" x14ac:dyDescent="0.3">
      <c r="A164" s="6" t="s">
        <v>46</v>
      </c>
      <c r="B164" s="6"/>
      <c r="C164" s="4" t="s">
        <v>4532</v>
      </c>
      <c r="D164" s="9" t="s">
        <v>3156</v>
      </c>
    </row>
    <row r="165" spans="1:4" ht="25.5" x14ac:dyDescent="0.3">
      <c r="A165" s="6" t="s">
        <v>46</v>
      </c>
      <c r="B165" s="6"/>
      <c r="C165" s="4" t="s">
        <v>4533</v>
      </c>
      <c r="D165" s="9" t="s">
        <v>3728</v>
      </c>
    </row>
    <row r="166" spans="1:4" x14ac:dyDescent="0.3">
      <c r="A166" s="6" t="s">
        <v>46</v>
      </c>
      <c r="B166" s="6"/>
      <c r="C166" s="4" t="s">
        <v>4534</v>
      </c>
      <c r="D166" s="9" t="s">
        <v>4320</v>
      </c>
    </row>
    <row r="167" spans="1:4" x14ac:dyDescent="0.3">
      <c r="A167" s="6" t="s">
        <v>46</v>
      </c>
      <c r="B167" s="6"/>
      <c r="C167" s="4" t="s">
        <v>4535</v>
      </c>
      <c r="D167" s="9" t="s">
        <v>4536</v>
      </c>
    </row>
    <row r="168" spans="1:4" ht="25.5" x14ac:dyDescent="0.3">
      <c r="A168" s="6" t="s">
        <v>46</v>
      </c>
      <c r="B168" s="6"/>
      <c r="C168" s="4" t="s">
        <v>4537</v>
      </c>
      <c r="D168" s="9" t="s">
        <v>4538</v>
      </c>
    </row>
    <row r="169" spans="1:4" ht="24" x14ac:dyDescent="0.3">
      <c r="A169" s="6" t="s">
        <v>46</v>
      </c>
      <c r="B169" s="6"/>
      <c r="C169" s="4" t="s">
        <v>4539</v>
      </c>
      <c r="D169" s="9" t="s">
        <v>4540</v>
      </c>
    </row>
    <row r="170" spans="1:4" x14ac:dyDescent="0.3">
      <c r="A170" s="6" t="s">
        <v>46</v>
      </c>
      <c r="B170" s="6"/>
      <c r="C170" s="4" t="s">
        <v>4541</v>
      </c>
      <c r="D170" s="9" t="s">
        <v>3779</v>
      </c>
    </row>
    <row r="171" spans="1:4" ht="72" x14ac:dyDescent="0.3">
      <c r="A171" s="6" t="s">
        <v>46</v>
      </c>
      <c r="B171" s="6"/>
      <c r="C171" s="4" t="s">
        <v>4542</v>
      </c>
      <c r="D171" s="9" t="s">
        <v>4543</v>
      </c>
    </row>
    <row r="172" spans="1:4" x14ac:dyDescent="0.3">
      <c r="A172" s="6" t="s">
        <v>47</v>
      </c>
      <c r="B172" s="6"/>
      <c r="C172" s="4" t="s">
        <v>4544</v>
      </c>
      <c r="D172" s="9" t="s">
        <v>3767</v>
      </c>
    </row>
    <row r="173" spans="1:4" x14ac:dyDescent="0.3">
      <c r="A173" s="6" t="s">
        <v>47</v>
      </c>
      <c r="B173" s="6"/>
      <c r="C173" s="4" t="s">
        <v>4545</v>
      </c>
      <c r="D173" s="9" t="s">
        <v>3771</v>
      </c>
    </row>
    <row r="174" spans="1:4" ht="24" x14ac:dyDescent="0.3">
      <c r="A174" s="6" t="s">
        <v>47</v>
      </c>
      <c r="B174" s="6"/>
      <c r="C174" s="4" t="s">
        <v>4546</v>
      </c>
      <c r="D174" s="9" t="s">
        <v>3775</v>
      </c>
    </row>
    <row r="175" spans="1:4" ht="24" x14ac:dyDescent="0.3">
      <c r="A175" s="6" t="s">
        <v>47</v>
      </c>
      <c r="B175" s="6"/>
      <c r="C175" s="4" t="s">
        <v>4547</v>
      </c>
      <c r="D175" s="9" t="s">
        <v>4548</v>
      </c>
    </row>
    <row r="176" spans="1:4" x14ac:dyDescent="0.3">
      <c r="A176" s="6" t="s">
        <v>47</v>
      </c>
      <c r="B176" s="6"/>
      <c r="C176" s="4" t="s">
        <v>4549</v>
      </c>
      <c r="D176" s="9" t="s">
        <v>3783</v>
      </c>
    </row>
    <row r="177" spans="1:4" x14ac:dyDescent="0.3">
      <c r="A177" s="6" t="s">
        <v>47</v>
      </c>
      <c r="B177" s="6"/>
      <c r="C177" s="4" t="s">
        <v>4550</v>
      </c>
      <c r="D177" s="9" t="s">
        <v>4551</v>
      </c>
    </row>
    <row r="178" spans="1:4" ht="24" x14ac:dyDescent="0.3">
      <c r="A178" s="6" t="s">
        <v>47</v>
      </c>
      <c r="B178" s="6"/>
      <c r="C178" s="4" t="s">
        <v>4552</v>
      </c>
      <c r="D178" s="9" t="s">
        <v>3794</v>
      </c>
    </row>
    <row r="179" spans="1:4" x14ac:dyDescent="0.3">
      <c r="A179" s="6" t="s">
        <v>47</v>
      </c>
      <c r="B179" s="6"/>
      <c r="C179" s="4" t="s">
        <v>4553</v>
      </c>
      <c r="D179" s="9" t="s">
        <v>3260</v>
      </c>
    </row>
    <row r="180" spans="1:4" ht="24" x14ac:dyDescent="0.3">
      <c r="A180" s="6" t="s">
        <v>47</v>
      </c>
      <c r="B180" s="6"/>
      <c r="C180" s="4" t="s">
        <v>4554</v>
      </c>
      <c r="D180" s="9" t="s">
        <v>4555</v>
      </c>
    </row>
    <row r="181" spans="1:4" ht="25.5" x14ac:dyDescent="0.3">
      <c r="A181" s="6" t="s">
        <v>47</v>
      </c>
      <c r="B181" s="6"/>
      <c r="C181" s="4" t="s">
        <v>4556</v>
      </c>
      <c r="D181" s="9" t="s">
        <v>4557</v>
      </c>
    </row>
    <row r="182" spans="1:4" ht="25.5" x14ac:dyDescent="0.3">
      <c r="A182" s="6" t="s">
        <v>47</v>
      </c>
      <c r="B182" s="6"/>
      <c r="C182" s="4" t="s">
        <v>4558</v>
      </c>
      <c r="D182" s="9" t="s">
        <v>3264</v>
      </c>
    </row>
    <row r="183" spans="1:4" ht="25.5" x14ac:dyDescent="0.3">
      <c r="A183" s="6" t="s">
        <v>47</v>
      </c>
      <c r="B183" s="6"/>
      <c r="C183" s="4" t="s">
        <v>4559</v>
      </c>
      <c r="D183" s="9" t="s">
        <v>3256</v>
      </c>
    </row>
    <row r="184" spans="1:4" ht="25.5" x14ac:dyDescent="0.3">
      <c r="A184" s="6" t="s">
        <v>47</v>
      </c>
      <c r="B184" s="6"/>
      <c r="C184" s="4" t="s">
        <v>4560</v>
      </c>
      <c r="D184" s="9" t="s">
        <v>4561</v>
      </c>
    </row>
    <row r="185" spans="1:4" ht="25.5" x14ac:dyDescent="0.3">
      <c r="A185" s="6" t="s">
        <v>47</v>
      </c>
      <c r="B185" s="6"/>
      <c r="C185" s="4" t="s">
        <v>4562</v>
      </c>
      <c r="D185" s="9" t="s">
        <v>4563</v>
      </c>
    </row>
    <row r="186" spans="1:4" ht="25.5" x14ac:dyDescent="0.3">
      <c r="A186" s="6" t="s">
        <v>47</v>
      </c>
      <c r="B186" s="6"/>
      <c r="C186" s="4" t="s">
        <v>4564</v>
      </c>
      <c r="D186" s="9" t="s">
        <v>3798</v>
      </c>
    </row>
    <row r="187" spans="1:4" ht="25.5" x14ac:dyDescent="0.3">
      <c r="A187" s="6" t="s">
        <v>47</v>
      </c>
      <c r="B187" s="6"/>
      <c r="C187" s="4" t="s">
        <v>4565</v>
      </c>
      <c r="D187" s="9" t="s">
        <v>4566</v>
      </c>
    </row>
    <row r="188" spans="1:4" ht="25.5" x14ac:dyDescent="0.3">
      <c r="A188" s="6" t="s">
        <v>47</v>
      </c>
      <c r="B188" s="6"/>
      <c r="C188" s="4" t="s">
        <v>4567</v>
      </c>
      <c r="D188" s="9" t="s">
        <v>3802</v>
      </c>
    </row>
    <row r="189" spans="1:4" x14ac:dyDescent="0.3">
      <c r="A189" s="6" t="s">
        <v>47</v>
      </c>
      <c r="B189" s="6"/>
      <c r="C189" s="4" t="s">
        <v>4568</v>
      </c>
      <c r="D189" s="9" t="s">
        <v>4569</v>
      </c>
    </row>
    <row r="190" spans="1:4" ht="25.5" x14ac:dyDescent="0.3">
      <c r="A190" s="6" t="s">
        <v>47</v>
      </c>
      <c r="B190" s="6"/>
      <c r="C190" s="4" t="s">
        <v>4570</v>
      </c>
      <c r="D190" s="9" t="s">
        <v>4571</v>
      </c>
    </row>
    <row r="191" spans="1:4" ht="25.5" x14ac:dyDescent="0.3">
      <c r="A191" s="6" t="s">
        <v>47</v>
      </c>
      <c r="B191" s="6"/>
      <c r="C191" s="4" t="s">
        <v>4572</v>
      </c>
      <c r="D191" s="9" t="s">
        <v>4573</v>
      </c>
    </row>
    <row r="192" spans="1:4" ht="25.5" x14ac:dyDescent="0.3">
      <c r="A192" s="6" t="s">
        <v>47</v>
      </c>
      <c r="B192" s="6"/>
      <c r="C192" s="4" t="s">
        <v>4574</v>
      </c>
      <c r="D192" s="9" t="s">
        <v>4575</v>
      </c>
    </row>
    <row r="193" spans="1:4" ht="25.5" x14ac:dyDescent="0.3">
      <c r="A193" s="6" t="s">
        <v>47</v>
      </c>
      <c r="B193" s="6"/>
      <c r="C193" s="4" t="s">
        <v>4576</v>
      </c>
      <c r="D193" s="9" t="s">
        <v>4577</v>
      </c>
    </row>
    <row r="194" spans="1:4" ht="25.5" x14ac:dyDescent="0.3">
      <c r="A194" s="6" t="s">
        <v>47</v>
      </c>
      <c r="B194" s="6"/>
      <c r="C194" s="4" t="s">
        <v>4578</v>
      </c>
      <c r="D194" s="9" t="s">
        <v>3790</v>
      </c>
    </row>
    <row r="195" spans="1:4" ht="25.5" x14ac:dyDescent="0.3">
      <c r="A195" s="6" t="s">
        <v>47</v>
      </c>
      <c r="B195" s="6"/>
      <c r="C195" s="4" t="s">
        <v>4579</v>
      </c>
      <c r="D195" s="9" t="s">
        <v>4580</v>
      </c>
    </row>
    <row r="196" spans="1:4" ht="25.5" x14ac:dyDescent="0.3">
      <c r="A196" s="6" t="s">
        <v>47</v>
      </c>
      <c r="B196" s="6"/>
      <c r="C196" s="4" t="s">
        <v>4581</v>
      </c>
      <c r="D196" s="9" t="s">
        <v>4582</v>
      </c>
    </row>
    <row r="197" spans="1:4" x14ac:dyDescent="0.3">
      <c r="A197" s="6" t="s">
        <v>47</v>
      </c>
      <c r="B197" s="6"/>
      <c r="C197" s="4" t="s">
        <v>4583</v>
      </c>
      <c r="D197" s="9" t="s">
        <v>4584</v>
      </c>
    </row>
    <row r="198" spans="1:4" ht="25.5" x14ac:dyDescent="0.3">
      <c r="A198" s="6" t="s">
        <v>47</v>
      </c>
      <c r="B198" s="6"/>
      <c r="C198" s="4" t="s">
        <v>4585</v>
      </c>
      <c r="D198" s="9" t="s">
        <v>4586</v>
      </c>
    </row>
    <row r="199" spans="1:4" ht="25.5" x14ac:dyDescent="0.3">
      <c r="A199" s="6" t="s">
        <v>47</v>
      </c>
      <c r="B199" s="6"/>
      <c r="C199" s="4" t="s">
        <v>4587</v>
      </c>
      <c r="D199" s="9" t="s">
        <v>4588</v>
      </c>
    </row>
    <row r="200" spans="1:4" ht="25.5" x14ac:dyDescent="0.3">
      <c r="A200" s="6" t="s">
        <v>47</v>
      </c>
      <c r="B200" s="6"/>
      <c r="C200" s="4" t="s">
        <v>4589</v>
      </c>
      <c r="D200" s="9" t="s">
        <v>4590</v>
      </c>
    </row>
    <row r="201" spans="1:4" x14ac:dyDescent="0.3">
      <c r="A201" s="6" t="s">
        <v>47</v>
      </c>
      <c r="B201" s="6"/>
      <c r="C201" s="4" t="s">
        <v>4591</v>
      </c>
      <c r="D201" s="9" t="s">
        <v>4592</v>
      </c>
    </row>
    <row r="202" spans="1:4" x14ac:dyDescent="0.3">
      <c r="A202" s="6" t="s">
        <v>47</v>
      </c>
      <c r="B202" s="6"/>
      <c r="C202" s="4" t="s">
        <v>4593</v>
      </c>
      <c r="D202" s="9" t="s">
        <v>4594</v>
      </c>
    </row>
    <row r="203" spans="1:4" ht="24" x14ac:dyDescent="0.3">
      <c r="A203" s="6" t="s">
        <v>47</v>
      </c>
      <c r="B203" s="6"/>
      <c r="C203" s="4" t="s">
        <v>4595</v>
      </c>
      <c r="D203" s="9" t="s">
        <v>4596</v>
      </c>
    </row>
    <row r="204" spans="1:4" ht="25.5" x14ac:dyDescent="0.3">
      <c r="A204" s="6" t="s">
        <v>47</v>
      </c>
      <c r="B204" s="6"/>
      <c r="C204" s="4" t="s">
        <v>4597</v>
      </c>
      <c r="D204" s="9" t="s">
        <v>4598</v>
      </c>
    </row>
    <row r="205" spans="1:4" x14ac:dyDescent="0.3">
      <c r="A205" s="6" t="s">
        <v>47</v>
      </c>
      <c r="B205" s="6"/>
      <c r="C205" s="4" t="s">
        <v>4599</v>
      </c>
      <c r="D205" s="9" t="s">
        <v>3829</v>
      </c>
    </row>
    <row r="206" spans="1:4" x14ac:dyDescent="0.3">
      <c r="A206" s="6" t="s">
        <v>47</v>
      </c>
      <c r="B206" s="6"/>
      <c r="C206" s="4" t="s">
        <v>4600</v>
      </c>
      <c r="D206" s="9" t="s">
        <v>3810</v>
      </c>
    </row>
    <row r="207" spans="1:4" x14ac:dyDescent="0.3">
      <c r="A207" s="6" t="s">
        <v>47</v>
      </c>
      <c r="B207" s="6"/>
      <c r="C207" s="4" t="s">
        <v>4601</v>
      </c>
      <c r="D207" s="9" t="s">
        <v>3806</v>
      </c>
    </row>
    <row r="208" spans="1:4" x14ac:dyDescent="0.3">
      <c r="A208" s="6" t="s">
        <v>47</v>
      </c>
      <c r="B208" s="6"/>
      <c r="C208" s="4" t="s">
        <v>4602</v>
      </c>
      <c r="D208" s="9" t="s">
        <v>4603</v>
      </c>
    </row>
    <row r="209" spans="1:4" x14ac:dyDescent="0.3">
      <c r="A209" s="6" t="s">
        <v>48</v>
      </c>
      <c r="B209" s="6"/>
      <c r="C209" s="4" t="s">
        <v>4604</v>
      </c>
      <c r="D209" s="9" t="s">
        <v>3843</v>
      </c>
    </row>
    <row r="210" spans="1:4" x14ac:dyDescent="0.3">
      <c r="A210" s="6" t="s">
        <v>48</v>
      </c>
      <c r="B210" s="6"/>
      <c r="C210" s="4" t="s">
        <v>4605</v>
      </c>
      <c r="D210" s="9" t="s">
        <v>3859</v>
      </c>
    </row>
    <row r="211" spans="1:4" ht="24" x14ac:dyDescent="0.3">
      <c r="A211" s="6" t="s">
        <v>48</v>
      </c>
      <c r="B211" s="6"/>
      <c r="C211" s="4" t="s">
        <v>4606</v>
      </c>
      <c r="D211" s="9" t="s">
        <v>4607</v>
      </c>
    </row>
    <row r="212" spans="1:4" x14ac:dyDescent="0.3">
      <c r="A212" s="6" t="s">
        <v>48</v>
      </c>
      <c r="B212" s="6"/>
      <c r="C212" s="4" t="s">
        <v>4608</v>
      </c>
      <c r="D212" s="9" t="s">
        <v>4609</v>
      </c>
    </row>
    <row r="213" spans="1:4" x14ac:dyDescent="0.3">
      <c r="A213" s="6" t="s">
        <v>48</v>
      </c>
      <c r="B213" s="6"/>
      <c r="C213" s="4" t="s">
        <v>4610</v>
      </c>
      <c r="D213" s="9" t="s">
        <v>4611</v>
      </c>
    </row>
    <row r="214" spans="1:4" x14ac:dyDescent="0.3">
      <c r="A214" s="6" t="s">
        <v>48</v>
      </c>
      <c r="B214" s="6"/>
      <c r="C214" s="4" t="s">
        <v>4612</v>
      </c>
      <c r="D214" s="9" t="s">
        <v>3863</v>
      </c>
    </row>
    <row r="215" spans="1:4" x14ac:dyDescent="0.3">
      <c r="A215" s="6" t="s">
        <v>48</v>
      </c>
      <c r="B215" s="6"/>
      <c r="C215" s="4" t="s">
        <v>4613</v>
      </c>
      <c r="D215" s="9" t="s">
        <v>4614</v>
      </c>
    </row>
    <row r="216" spans="1:4" x14ac:dyDescent="0.3">
      <c r="A216" s="6" t="s">
        <v>48</v>
      </c>
      <c r="B216" s="6"/>
      <c r="C216" s="4" t="s">
        <v>4615</v>
      </c>
      <c r="D216" s="9" t="s">
        <v>3293</v>
      </c>
    </row>
    <row r="217" spans="1:4" ht="24" x14ac:dyDescent="0.3">
      <c r="A217" s="6" t="s">
        <v>48</v>
      </c>
      <c r="B217" s="6"/>
      <c r="C217" s="4" t="s">
        <v>4616</v>
      </c>
      <c r="D217" s="9" t="s">
        <v>4617</v>
      </c>
    </row>
    <row r="218" spans="1:4" x14ac:dyDescent="0.3">
      <c r="A218" s="6" t="s">
        <v>48</v>
      </c>
      <c r="B218" s="6"/>
      <c r="C218" s="4" t="s">
        <v>4618</v>
      </c>
      <c r="D218" s="9" t="s">
        <v>3870</v>
      </c>
    </row>
    <row r="219" spans="1:4" ht="25.5" x14ac:dyDescent="0.3">
      <c r="A219" s="6" t="s">
        <v>48</v>
      </c>
      <c r="B219" s="6"/>
      <c r="C219" s="4" t="s">
        <v>4619</v>
      </c>
      <c r="D219" s="9" t="s">
        <v>3833</v>
      </c>
    </row>
    <row r="220" spans="1:4" x14ac:dyDescent="0.3">
      <c r="A220" s="6" t="s">
        <v>48</v>
      </c>
      <c r="B220" s="6"/>
      <c r="C220" s="4" t="s">
        <v>4620</v>
      </c>
      <c r="D220" s="9" t="s">
        <v>3278</v>
      </c>
    </row>
    <row r="221" spans="1:4" x14ac:dyDescent="0.3">
      <c r="A221" s="6" t="s">
        <v>48</v>
      </c>
      <c r="B221" s="6"/>
      <c r="C221" s="4" t="s">
        <v>4621</v>
      </c>
      <c r="D221" s="9" t="s">
        <v>3285</v>
      </c>
    </row>
    <row r="222" spans="1:4" ht="24" x14ac:dyDescent="0.3">
      <c r="A222" s="6" t="s">
        <v>48</v>
      </c>
      <c r="B222" s="6"/>
      <c r="C222" s="4" t="s">
        <v>4622</v>
      </c>
      <c r="D222" s="9" t="s">
        <v>3131</v>
      </c>
    </row>
    <row r="223" spans="1:4" ht="25.5" x14ac:dyDescent="0.3">
      <c r="A223" s="6" t="s">
        <v>48</v>
      </c>
      <c r="B223" s="6"/>
      <c r="C223" s="4" t="s">
        <v>4623</v>
      </c>
      <c r="D223" s="9" t="s">
        <v>4624</v>
      </c>
    </row>
    <row r="224" spans="1:4" ht="25.5" x14ac:dyDescent="0.3">
      <c r="A224" s="6" t="s">
        <v>48</v>
      </c>
      <c r="B224" s="6"/>
      <c r="C224" s="4" t="s">
        <v>4625</v>
      </c>
      <c r="D224" s="9" t="s">
        <v>4626</v>
      </c>
    </row>
    <row r="225" spans="1:4" x14ac:dyDescent="0.3">
      <c r="A225" s="6" t="s">
        <v>48</v>
      </c>
      <c r="B225" s="6"/>
      <c r="C225" s="4" t="s">
        <v>4627</v>
      </c>
      <c r="D225" s="9" t="s">
        <v>4628</v>
      </c>
    </row>
    <row r="226" spans="1:4" ht="24" x14ac:dyDescent="0.3">
      <c r="A226" s="6" t="s">
        <v>48</v>
      </c>
      <c r="B226" s="6"/>
      <c r="C226" s="4" t="s">
        <v>4629</v>
      </c>
      <c r="D226" s="9" t="s">
        <v>3874</v>
      </c>
    </row>
    <row r="227" spans="1:4" x14ac:dyDescent="0.3">
      <c r="A227" s="6" t="s">
        <v>48</v>
      </c>
      <c r="B227" s="6"/>
      <c r="C227" s="4" t="s">
        <v>4630</v>
      </c>
      <c r="D227" s="9" t="s">
        <v>4631</v>
      </c>
    </row>
    <row r="228" spans="1:4" x14ac:dyDescent="0.3">
      <c r="A228" s="6" t="s">
        <v>48</v>
      </c>
      <c r="B228" s="6"/>
      <c r="C228" s="4" t="s">
        <v>4632</v>
      </c>
      <c r="D228" s="9" t="s">
        <v>4633</v>
      </c>
    </row>
    <row r="229" spans="1:4" x14ac:dyDescent="0.3">
      <c r="A229" s="6" t="s">
        <v>48</v>
      </c>
      <c r="B229" s="6"/>
      <c r="C229" s="4" t="s">
        <v>4634</v>
      </c>
      <c r="D229" s="9" t="s">
        <v>4635</v>
      </c>
    </row>
    <row r="230" spans="1:4" ht="25.5" x14ac:dyDescent="0.3">
      <c r="A230" s="6" t="s">
        <v>48</v>
      </c>
      <c r="B230" s="6"/>
      <c r="C230" s="4" t="s">
        <v>4636</v>
      </c>
      <c r="D230" s="9" t="s">
        <v>4637</v>
      </c>
    </row>
    <row r="231" spans="1:4" x14ac:dyDescent="0.3">
      <c r="A231" s="6" t="s">
        <v>48</v>
      </c>
      <c r="B231" s="6"/>
      <c r="C231" s="4" t="s">
        <v>4638</v>
      </c>
      <c r="D231" s="9" t="s">
        <v>4639</v>
      </c>
    </row>
    <row r="232" spans="1:4" x14ac:dyDescent="0.3">
      <c r="A232" s="6" t="s">
        <v>48</v>
      </c>
      <c r="B232" s="6"/>
      <c r="C232" s="4" t="s">
        <v>4640</v>
      </c>
      <c r="D232" s="9" t="s">
        <v>4641</v>
      </c>
    </row>
    <row r="233" spans="1:4" x14ac:dyDescent="0.3">
      <c r="A233" s="6" t="s">
        <v>48</v>
      </c>
      <c r="B233" s="6"/>
      <c r="C233" s="4" t="s">
        <v>4642</v>
      </c>
      <c r="D233" s="9" t="s">
        <v>3878</v>
      </c>
    </row>
    <row r="234" spans="1:4" ht="25.5" x14ac:dyDescent="0.3">
      <c r="A234" s="6" t="s">
        <v>48</v>
      </c>
      <c r="B234" s="6"/>
      <c r="C234" s="4" t="s">
        <v>4643</v>
      </c>
      <c r="D234" s="9" t="s">
        <v>4644</v>
      </c>
    </row>
    <row r="235" spans="1:4" x14ac:dyDescent="0.3">
      <c r="A235" s="6" t="s">
        <v>48</v>
      </c>
      <c r="B235" s="6"/>
      <c r="C235" s="4" t="s">
        <v>4645</v>
      </c>
      <c r="D235" s="9" t="s">
        <v>4646</v>
      </c>
    </row>
    <row r="236" spans="1:4" x14ac:dyDescent="0.3">
      <c r="A236" s="6" t="s">
        <v>48</v>
      </c>
      <c r="B236" s="6"/>
      <c r="C236" s="4" t="s">
        <v>4647</v>
      </c>
      <c r="D236" s="9" t="s">
        <v>4648</v>
      </c>
    </row>
    <row r="237" spans="1:4" ht="25.5" x14ac:dyDescent="0.3">
      <c r="A237" s="6" t="s">
        <v>48</v>
      </c>
      <c r="B237" s="6"/>
      <c r="C237" s="4" t="s">
        <v>4649</v>
      </c>
      <c r="D237" s="9" t="s">
        <v>4650</v>
      </c>
    </row>
    <row r="238" spans="1:4" ht="25.5" x14ac:dyDescent="0.3">
      <c r="A238" s="6" t="s">
        <v>48</v>
      </c>
      <c r="B238" s="6"/>
      <c r="C238" s="4" t="s">
        <v>4651</v>
      </c>
      <c r="D238" s="9" t="s">
        <v>4652</v>
      </c>
    </row>
    <row r="239" spans="1:4" ht="24" x14ac:dyDescent="0.3">
      <c r="A239" s="6" t="s">
        <v>48</v>
      </c>
      <c r="B239" s="6"/>
      <c r="C239" s="4" t="s">
        <v>4653</v>
      </c>
      <c r="D239" s="9" t="s">
        <v>4654</v>
      </c>
    </row>
    <row r="240" spans="1:4" x14ac:dyDescent="0.3">
      <c r="A240" s="6" t="s">
        <v>48</v>
      </c>
      <c r="B240" s="6"/>
      <c r="C240" s="4" t="s">
        <v>4655</v>
      </c>
      <c r="D240" s="9" t="s">
        <v>4656</v>
      </c>
    </row>
    <row r="241" spans="1:4" ht="25.5" x14ac:dyDescent="0.3">
      <c r="A241" s="6" t="s">
        <v>48</v>
      </c>
      <c r="B241" s="6"/>
      <c r="C241" s="4" t="s">
        <v>4657</v>
      </c>
      <c r="D241" s="9" t="s">
        <v>4658</v>
      </c>
    </row>
    <row r="242" spans="1:4" x14ac:dyDescent="0.3">
      <c r="A242" s="6" t="s">
        <v>48</v>
      </c>
      <c r="B242" s="6"/>
      <c r="C242" s="4" t="s">
        <v>4659</v>
      </c>
      <c r="D242" s="9" t="s">
        <v>3891</v>
      </c>
    </row>
    <row r="243" spans="1:4" ht="25.5" x14ac:dyDescent="0.3">
      <c r="A243" s="6" t="s">
        <v>48</v>
      </c>
      <c r="B243" s="6"/>
      <c r="C243" s="4" t="s">
        <v>4660</v>
      </c>
      <c r="D243" s="9" t="s">
        <v>4661</v>
      </c>
    </row>
    <row r="244" spans="1:4" x14ac:dyDescent="0.3">
      <c r="A244" s="6" t="s">
        <v>48</v>
      </c>
      <c r="B244" s="6"/>
      <c r="C244" s="4" t="s">
        <v>4662</v>
      </c>
      <c r="D244" s="9" t="s">
        <v>3135</v>
      </c>
    </row>
    <row r="245" spans="1:4" x14ac:dyDescent="0.3">
      <c r="A245" s="6" t="s">
        <v>48</v>
      </c>
      <c r="B245" s="6"/>
      <c r="C245" s="4" t="s">
        <v>4663</v>
      </c>
      <c r="D245" s="9" t="s">
        <v>4664</v>
      </c>
    </row>
    <row r="246" spans="1:4" ht="25.5" x14ac:dyDescent="0.3">
      <c r="A246" s="6" t="s">
        <v>48</v>
      </c>
      <c r="B246" s="6"/>
      <c r="C246" s="4" t="s">
        <v>4665</v>
      </c>
      <c r="D246" s="9" t="s">
        <v>3895</v>
      </c>
    </row>
    <row r="247" spans="1:4" x14ac:dyDescent="0.3">
      <c r="A247" s="6" t="s">
        <v>48</v>
      </c>
      <c r="B247" s="6"/>
      <c r="C247" s="4" t="s">
        <v>4666</v>
      </c>
      <c r="D247" s="9" t="s">
        <v>3882</v>
      </c>
    </row>
    <row r="248" spans="1:4" x14ac:dyDescent="0.3">
      <c r="A248" s="6" t="s">
        <v>48</v>
      </c>
      <c r="B248" s="6"/>
      <c r="C248" s="4" t="s">
        <v>4667</v>
      </c>
      <c r="D248" s="9" t="s">
        <v>4668</v>
      </c>
    </row>
    <row r="249" spans="1:4" x14ac:dyDescent="0.3">
      <c r="A249" s="6" t="s">
        <v>48</v>
      </c>
      <c r="B249" s="6"/>
      <c r="C249" s="4" t="s">
        <v>4669</v>
      </c>
      <c r="D249" s="9" t="s">
        <v>3901</v>
      </c>
    </row>
    <row r="250" spans="1:4" x14ac:dyDescent="0.3">
      <c r="A250" s="6" t="s">
        <v>48</v>
      </c>
      <c r="B250" s="6"/>
      <c r="C250" s="4" t="s">
        <v>4670</v>
      </c>
      <c r="D250" s="9" t="s">
        <v>4671</v>
      </c>
    </row>
    <row r="251" spans="1:4" x14ac:dyDescent="0.3">
      <c r="A251" s="6" t="s">
        <v>48</v>
      </c>
      <c r="B251" s="6"/>
      <c r="C251" s="4" t="s">
        <v>4672</v>
      </c>
      <c r="D251" s="9" t="s">
        <v>4673</v>
      </c>
    </row>
    <row r="252" spans="1:4" x14ac:dyDescent="0.3">
      <c r="A252" s="6" t="s">
        <v>49</v>
      </c>
      <c r="B252" s="6"/>
      <c r="C252" s="4" t="s">
        <v>4674</v>
      </c>
      <c r="D252" s="9" t="s">
        <v>3926</v>
      </c>
    </row>
    <row r="253" spans="1:4" x14ac:dyDescent="0.3">
      <c r="A253" s="6" t="s">
        <v>49</v>
      </c>
      <c r="B253" s="6"/>
      <c r="C253" s="4" t="s">
        <v>4675</v>
      </c>
      <c r="D253" s="9" t="s">
        <v>4676</v>
      </c>
    </row>
    <row r="254" spans="1:4" ht="24" x14ac:dyDescent="0.3">
      <c r="A254" s="6" t="s">
        <v>49</v>
      </c>
      <c r="B254" s="6"/>
      <c r="C254" s="4" t="s">
        <v>4677</v>
      </c>
      <c r="D254" s="9" t="s">
        <v>3953</v>
      </c>
    </row>
    <row r="255" spans="1:4" ht="24" x14ac:dyDescent="0.3">
      <c r="A255" s="6" t="s">
        <v>49</v>
      </c>
      <c r="B255" s="6"/>
      <c r="C255" s="4" t="s">
        <v>4678</v>
      </c>
      <c r="D255" s="9" t="s">
        <v>4679</v>
      </c>
    </row>
    <row r="256" spans="1:4" ht="24" x14ac:dyDescent="0.3">
      <c r="A256" s="6" t="s">
        <v>49</v>
      </c>
      <c r="B256" s="6"/>
      <c r="C256" s="4" t="s">
        <v>4680</v>
      </c>
      <c r="D256" s="9" t="s">
        <v>4373</v>
      </c>
    </row>
    <row r="257" spans="1:4" x14ac:dyDescent="0.3">
      <c r="A257" s="6" t="s">
        <v>49</v>
      </c>
      <c r="B257" s="6"/>
      <c r="C257" s="4" t="s">
        <v>4681</v>
      </c>
      <c r="D257" s="9" t="s">
        <v>3934</v>
      </c>
    </row>
    <row r="258" spans="1:4" x14ac:dyDescent="0.3">
      <c r="A258" s="6" t="s">
        <v>49</v>
      </c>
      <c r="B258" s="6"/>
      <c r="C258" s="4" t="s">
        <v>4682</v>
      </c>
      <c r="D258" s="9" t="s">
        <v>3905</v>
      </c>
    </row>
    <row r="259" spans="1:4" x14ac:dyDescent="0.3">
      <c r="A259" s="6" t="s">
        <v>49</v>
      </c>
      <c r="B259" s="6"/>
      <c r="C259" s="4" t="s">
        <v>4683</v>
      </c>
      <c r="D259" s="9" t="s">
        <v>4684</v>
      </c>
    </row>
    <row r="260" spans="1:4" x14ac:dyDescent="0.3">
      <c r="A260" s="6" t="s">
        <v>49</v>
      </c>
      <c r="B260" s="6"/>
      <c r="C260" s="4" t="s">
        <v>4685</v>
      </c>
      <c r="D260" s="9" t="s">
        <v>3326</v>
      </c>
    </row>
    <row r="261" spans="1:4" x14ac:dyDescent="0.3">
      <c r="A261" s="6" t="s">
        <v>49</v>
      </c>
      <c r="B261" s="6"/>
      <c r="C261" s="4" t="s">
        <v>4686</v>
      </c>
      <c r="D261" s="9" t="s">
        <v>3297</v>
      </c>
    </row>
    <row r="262" spans="1:4" x14ac:dyDescent="0.3">
      <c r="A262" s="6" t="s">
        <v>49</v>
      </c>
      <c r="B262" s="6"/>
      <c r="C262" s="4" t="s">
        <v>4687</v>
      </c>
      <c r="D262" s="9" t="s">
        <v>3301</v>
      </c>
    </row>
    <row r="263" spans="1:4" x14ac:dyDescent="0.3">
      <c r="A263" s="6" t="s">
        <v>49</v>
      </c>
      <c r="B263" s="6"/>
      <c r="C263" s="4" t="s">
        <v>4688</v>
      </c>
      <c r="D263" s="9" t="s">
        <v>3912</v>
      </c>
    </row>
    <row r="264" spans="1:4" x14ac:dyDescent="0.3">
      <c r="A264" s="6" t="s">
        <v>49</v>
      </c>
      <c r="B264" s="6"/>
      <c r="C264" s="4" t="s">
        <v>4689</v>
      </c>
      <c r="D264" s="9" t="s">
        <v>4690</v>
      </c>
    </row>
    <row r="265" spans="1:4" x14ac:dyDescent="0.3">
      <c r="A265" s="6" t="s">
        <v>49</v>
      </c>
      <c r="B265" s="6"/>
      <c r="C265" s="4" t="s">
        <v>4691</v>
      </c>
      <c r="D265" s="9" t="s">
        <v>3916</v>
      </c>
    </row>
    <row r="266" spans="1:4" x14ac:dyDescent="0.3">
      <c r="A266" s="6" t="s">
        <v>49</v>
      </c>
      <c r="B266" s="6"/>
      <c r="C266" s="4" t="s">
        <v>4692</v>
      </c>
      <c r="D266" s="9" t="s">
        <v>3920</v>
      </c>
    </row>
    <row r="267" spans="1:4" x14ac:dyDescent="0.3">
      <c r="A267" s="6" t="s">
        <v>49</v>
      </c>
      <c r="B267" s="6"/>
      <c r="C267" s="4" t="s">
        <v>4693</v>
      </c>
      <c r="D267" s="9" t="s">
        <v>4694</v>
      </c>
    </row>
    <row r="268" spans="1:4" x14ac:dyDescent="0.3">
      <c r="A268" s="6" t="s">
        <v>49</v>
      </c>
      <c r="B268" s="6"/>
      <c r="C268" s="4" t="s">
        <v>4695</v>
      </c>
      <c r="D268" s="9" t="s">
        <v>4696</v>
      </c>
    </row>
    <row r="269" spans="1:4" x14ac:dyDescent="0.3">
      <c r="A269" s="6" t="s">
        <v>49</v>
      </c>
      <c r="B269" s="6"/>
      <c r="C269" s="4" t="s">
        <v>4697</v>
      </c>
      <c r="D269" s="9" t="s">
        <v>3930</v>
      </c>
    </row>
    <row r="270" spans="1:4" ht="24" x14ac:dyDescent="0.3">
      <c r="A270" s="6" t="s">
        <v>49</v>
      </c>
      <c r="B270" s="6"/>
      <c r="C270" s="4" t="s">
        <v>4698</v>
      </c>
      <c r="D270" s="9" t="s">
        <v>4699</v>
      </c>
    </row>
    <row r="271" spans="1:4" ht="24" x14ac:dyDescent="0.3">
      <c r="A271" s="6" t="s">
        <v>49</v>
      </c>
      <c r="B271" s="6"/>
      <c r="C271" s="4" t="s">
        <v>4700</v>
      </c>
      <c r="D271" s="9" t="s">
        <v>4701</v>
      </c>
    </row>
    <row r="272" spans="1:4" x14ac:dyDescent="0.3">
      <c r="A272" s="6" t="s">
        <v>49</v>
      </c>
      <c r="B272" s="6"/>
      <c r="C272" s="4" t="s">
        <v>4702</v>
      </c>
      <c r="D272" s="9" t="s">
        <v>3305</v>
      </c>
    </row>
    <row r="273" spans="1:4" x14ac:dyDescent="0.3">
      <c r="A273" s="6" t="s">
        <v>49</v>
      </c>
      <c r="B273" s="6"/>
      <c r="C273" s="4" t="s">
        <v>4703</v>
      </c>
      <c r="D273" s="9" t="s">
        <v>4704</v>
      </c>
    </row>
    <row r="274" spans="1:4" x14ac:dyDescent="0.3">
      <c r="A274" s="6" t="s">
        <v>49</v>
      </c>
      <c r="B274" s="6"/>
      <c r="C274" s="4" t="s">
        <v>4705</v>
      </c>
      <c r="D274" s="9" t="s">
        <v>3313</v>
      </c>
    </row>
    <row r="275" spans="1:4" x14ac:dyDescent="0.3">
      <c r="A275" s="6" t="s">
        <v>49</v>
      </c>
      <c r="B275" s="6"/>
      <c r="C275" s="4" t="s">
        <v>4706</v>
      </c>
      <c r="D275" s="9" t="s">
        <v>4707</v>
      </c>
    </row>
    <row r="276" spans="1:4" x14ac:dyDescent="0.3">
      <c r="A276" s="6" t="s">
        <v>49</v>
      </c>
      <c r="B276" s="6"/>
      <c r="C276" s="4" t="s">
        <v>4708</v>
      </c>
      <c r="D276" s="9" t="s">
        <v>3964</v>
      </c>
    </row>
    <row r="277" spans="1:4" x14ac:dyDescent="0.3">
      <c r="A277" s="6" t="s">
        <v>49</v>
      </c>
      <c r="B277" s="6"/>
      <c r="C277" s="4" t="s">
        <v>4709</v>
      </c>
      <c r="D277" s="9" t="s">
        <v>3968</v>
      </c>
    </row>
    <row r="278" spans="1:4" ht="25.5" x14ac:dyDescent="0.3">
      <c r="A278" s="6" t="s">
        <v>49</v>
      </c>
      <c r="B278" s="6"/>
      <c r="C278" s="4" t="s">
        <v>4710</v>
      </c>
      <c r="D278" s="9" t="s">
        <v>3309</v>
      </c>
    </row>
    <row r="279" spans="1:4" ht="25.5" x14ac:dyDescent="0.3">
      <c r="A279" s="6" t="s">
        <v>49</v>
      </c>
      <c r="B279" s="6"/>
      <c r="C279" s="4" t="s">
        <v>4711</v>
      </c>
      <c r="D279" s="9" t="s">
        <v>3945</v>
      </c>
    </row>
    <row r="280" spans="1:4" x14ac:dyDescent="0.3">
      <c r="A280" s="6" t="s">
        <v>49</v>
      </c>
      <c r="B280" s="6"/>
      <c r="C280" s="4" t="s">
        <v>4712</v>
      </c>
      <c r="D280" s="9" t="s">
        <v>4713</v>
      </c>
    </row>
    <row r="281" spans="1:4" ht="25.5" x14ac:dyDescent="0.3">
      <c r="A281" s="6" t="s">
        <v>49</v>
      </c>
      <c r="B281" s="6"/>
      <c r="C281" s="4" t="s">
        <v>4714</v>
      </c>
      <c r="D281" s="9" t="s">
        <v>3957</v>
      </c>
    </row>
    <row r="282" spans="1:4" ht="25.5" x14ac:dyDescent="0.3">
      <c r="A282" s="6" t="s">
        <v>49</v>
      </c>
      <c r="B282" s="6"/>
      <c r="C282" s="4" t="s">
        <v>4715</v>
      </c>
      <c r="D282" s="9" t="s">
        <v>3941</v>
      </c>
    </row>
    <row r="283" spans="1:4" x14ac:dyDescent="0.3">
      <c r="A283" s="6" t="s">
        <v>49</v>
      </c>
      <c r="B283" s="6"/>
      <c r="C283" s="4" t="s">
        <v>4716</v>
      </c>
      <c r="D283" s="9" t="s">
        <v>3330</v>
      </c>
    </row>
    <row r="284" spans="1:4" ht="24" x14ac:dyDescent="0.3">
      <c r="A284" s="6" t="s">
        <v>49</v>
      </c>
      <c r="B284" s="6"/>
      <c r="C284" s="4" t="s">
        <v>4717</v>
      </c>
      <c r="D284" s="9" t="s">
        <v>3949</v>
      </c>
    </row>
    <row r="285" spans="1:4" ht="25.5" x14ac:dyDescent="0.3">
      <c r="A285" s="6" t="s">
        <v>49</v>
      </c>
      <c r="B285" s="6"/>
      <c r="C285" s="4" t="s">
        <v>4718</v>
      </c>
      <c r="D285" s="9" t="s">
        <v>4719</v>
      </c>
    </row>
    <row r="286" spans="1:4" ht="25.5" x14ac:dyDescent="0.3">
      <c r="A286" s="6" t="s">
        <v>49</v>
      </c>
      <c r="B286" s="6"/>
      <c r="C286" s="4" t="s">
        <v>4720</v>
      </c>
      <c r="D286" s="9" t="s">
        <v>4721</v>
      </c>
    </row>
    <row r="287" spans="1:4" ht="25.5" x14ac:dyDescent="0.3">
      <c r="A287" s="6" t="s">
        <v>49</v>
      </c>
      <c r="B287" s="6"/>
      <c r="C287" s="4" t="s">
        <v>4722</v>
      </c>
      <c r="D287" s="9" t="s">
        <v>4723</v>
      </c>
    </row>
    <row r="288" spans="1:4" x14ac:dyDescent="0.3">
      <c r="A288" s="6" t="s">
        <v>49</v>
      </c>
      <c r="B288" s="6"/>
      <c r="C288" s="4" t="s">
        <v>4724</v>
      </c>
      <c r="D288" s="9" t="s">
        <v>4725</v>
      </c>
    </row>
    <row r="289" spans="1:4" x14ac:dyDescent="0.3">
      <c r="A289" s="6" t="s">
        <v>49</v>
      </c>
      <c r="B289" s="6"/>
      <c r="C289" s="4" t="s">
        <v>4726</v>
      </c>
      <c r="D289" s="9" t="s">
        <v>4727</v>
      </c>
    </row>
    <row r="290" spans="1:4" x14ac:dyDescent="0.3">
      <c r="A290" s="6" t="s">
        <v>49</v>
      </c>
      <c r="B290" s="6"/>
      <c r="C290" s="4" t="s">
        <v>4728</v>
      </c>
      <c r="D290" s="9" t="s">
        <v>4729</v>
      </c>
    </row>
    <row r="291" spans="1:4" x14ac:dyDescent="0.3">
      <c r="A291" s="6" t="s">
        <v>50</v>
      </c>
      <c r="B291" s="6"/>
      <c r="C291" s="4" t="s">
        <v>4255</v>
      </c>
      <c r="D291" s="9" t="s">
        <v>4256</v>
      </c>
    </row>
    <row r="292" spans="1:4" x14ac:dyDescent="0.3">
      <c r="A292" s="6" t="s">
        <v>50</v>
      </c>
      <c r="B292" s="6"/>
      <c r="C292" s="4" t="s">
        <v>4730</v>
      </c>
      <c r="D292" s="9" t="s">
        <v>4731</v>
      </c>
    </row>
    <row r="293" spans="1:4" x14ac:dyDescent="0.3">
      <c r="A293" s="6" t="s">
        <v>50</v>
      </c>
      <c r="B293" s="6"/>
      <c r="C293" s="4" t="s">
        <v>4732</v>
      </c>
      <c r="D293" s="9" t="s">
        <v>4733</v>
      </c>
    </row>
    <row r="294" spans="1:4" x14ac:dyDescent="0.3">
      <c r="A294" s="6" t="s">
        <v>50</v>
      </c>
      <c r="B294" s="6"/>
      <c r="C294" s="4" t="s">
        <v>4734</v>
      </c>
      <c r="D294" s="9" t="s">
        <v>4262</v>
      </c>
    </row>
    <row r="295" spans="1:4" x14ac:dyDescent="0.3">
      <c r="A295" s="6" t="s">
        <v>50</v>
      </c>
      <c r="B295" s="6"/>
      <c r="C295" s="4" t="s">
        <v>4735</v>
      </c>
      <c r="D295" s="9" t="s">
        <v>4736</v>
      </c>
    </row>
    <row r="296" spans="1:4" x14ac:dyDescent="0.3">
      <c r="A296" s="6" t="s">
        <v>50</v>
      </c>
      <c r="B296" s="6"/>
      <c r="C296" s="4" t="s">
        <v>4737</v>
      </c>
      <c r="D296" s="9" t="s">
        <v>4738</v>
      </c>
    </row>
    <row r="297" spans="1:4" x14ac:dyDescent="0.3">
      <c r="A297" s="6" t="s">
        <v>50</v>
      </c>
      <c r="B297" s="6"/>
      <c r="C297" s="4" t="s">
        <v>4739</v>
      </c>
      <c r="D297" s="9" t="s">
        <v>4740</v>
      </c>
    </row>
    <row r="298" spans="1:4" x14ac:dyDescent="0.3">
      <c r="A298" s="6" t="s">
        <v>50</v>
      </c>
      <c r="B298" s="6"/>
      <c r="C298" s="4" t="s">
        <v>4741</v>
      </c>
      <c r="D298" s="9" t="s">
        <v>4742</v>
      </c>
    </row>
    <row r="299" spans="1:4" x14ac:dyDescent="0.3">
      <c r="A299" s="6" t="s">
        <v>50</v>
      </c>
      <c r="B299" s="6"/>
      <c r="C299" s="4" t="s">
        <v>4743</v>
      </c>
      <c r="D299" s="9" t="s">
        <v>4744</v>
      </c>
    </row>
    <row r="300" spans="1:4" x14ac:dyDescent="0.3">
      <c r="A300" s="6" t="s">
        <v>50</v>
      </c>
      <c r="B300" s="6"/>
      <c r="C300" s="4" t="s">
        <v>4745</v>
      </c>
      <c r="D300" s="9" t="s">
        <v>4746</v>
      </c>
    </row>
    <row r="301" spans="1:4" x14ac:dyDescent="0.3">
      <c r="A301" s="6" t="s">
        <v>50</v>
      </c>
      <c r="B301" s="6"/>
      <c r="C301" s="4" t="s">
        <v>4747</v>
      </c>
      <c r="D301" s="9" t="s">
        <v>4748</v>
      </c>
    </row>
    <row r="302" spans="1:4" ht="24" x14ac:dyDescent="0.3">
      <c r="A302" s="6" t="s">
        <v>50</v>
      </c>
      <c r="B302" s="6"/>
      <c r="C302" s="4" t="s">
        <v>4749</v>
      </c>
      <c r="D302" s="9" t="s">
        <v>4750</v>
      </c>
    </row>
    <row r="303" spans="1:4" x14ac:dyDescent="0.3">
      <c r="A303" s="6" t="s">
        <v>50</v>
      </c>
      <c r="B303" s="6"/>
      <c r="C303" s="4" t="s">
        <v>4751</v>
      </c>
      <c r="D303" s="9" t="s">
        <v>4752</v>
      </c>
    </row>
    <row r="304" spans="1:4" x14ac:dyDescent="0.3">
      <c r="A304" s="6" t="s">
        <v>50</v>
      </c>
      <c r="B304" s="6"/>
      <c r="C304" s="4" t="s">
        <v>4753</v>
      </c>
      <c r="D304" s="9" t="s">
        <v>4754</v>
      </c>
    </row>
    <row r="305" spans="1:4" x14ac:dyDescent="0.3">
      <c r="A305" s="6" t="s">
        <v>50</v>
      </c>
      <c r="B305" s="6"/>
      <c r="C305" s="4" t="s">
        <v>4755</v>
      </c>
      <c r="D305" s="9" t="s">
        <v>4756</v>
      </c>
    </row>
    <row r="306" spans="1:4" x14ac:dyDescent="0.3">
      <c r="A306" s="6" t="s">
        <v>50</v>
      </c>
      <c r="B306" s="6"/>
      <c r="C306" s="4" t="s">
        <v>4757</v>
      </c>
      <c r="D306" s="9" t="s">
        <v>4758</v>
      </c>
    </row>
    <row r="307" spans="1:4" x14ac:dyDescent="0.3">
      <c r="A307" s="6" t="s">
        <v>50</v>
      </c>
      <c r="B307" s="6"/>
      <c r="C307" s="4" t="s">
        <v>4279</v>
      </c>
      <c r="D307" s="9" t="s">
        <v>4280</v>
      </c>
    </row>
    <row r="308" spans="1:4" x14ac:dyDescent="0.3">
      <c r="A308" s="6" t="s">
        <v>50</v>
      </c>
      <c r="B308" s="6"/>
      <c r="C308" s="4" t="s">
        <v>4759</v>
      </c>
      <c r="D308" s="9" t="s">
        <v>4760</v>
      </c>
    </row>
    <row r="309" spans="1:4" x14ac:dyDescent="0.3">
      <c r="A309" s="6" t="s">
        <v>50</v>
      </c>
      <c r="B309" s="6"/>
      <c r="C309" s="4" t="s">
        <v>4282</v>
      </c>
      <c r="D309" s="9" t="s">
        <v>4283</v>
      </c>
    </row>
    <row r="310" spans="1:4" ht="24" x14ac:dyDescent="0.3">
      <c r="A310" s="6" t="s">
        <v>50</v>
      </c>
      <c r="B310" s="6"/>
      <c r="C310" s="4" t="s">
        <v>4267</v>
      </c>
      <c r="D310" s="9" t="s">
        <v>4268</v>
      </c>
    </row>
    <row r="311" spans="1:4" ht="24" x14ac:dyDescent="0.3">
      <c r="A311" s="6" t="s">
        <v>50</v>
      </c>
      <c r="B311" s="6"/>
      <c r="C311" s="4" t="s">
        <v>4761</v>
      </c>
      <c r="D311" s="9" t="s">
        <v>4244</v>
      </c>
    </row>
    <row r="312" spans="1:4" x14ac:dyDescent="0.3">
      <c r="A312" s="6" t="s">
        <v>50</v>
      </c>
      <c r="B312" s="6"/>
      <c r="C312" s="4" t="s">
        <v>4762</v>
      </c>
      <c r="D312" s="9" t="s">
        <v>4019</v>
      </c>
    </row>
    <row r="313" spans="1:4" ht="24" x14ac:dyDescent="0.3">
      <c r="A313" s="6" t="s">
        <v>50</v>
      </c>
      <c r="B313" s="6"/>
      <c r="C313" s="4" t="s">
        <v>4763</v>
      </c>
      <c r="D313" s="9" t="s">
        <v>4764</v>
      </c>
    </row>
    <row r="314" spans="1:4" x14ac:dyDescent="0.3">
      <c r="A314" s="6" t="s">
        <v>50</v>
      </c>
      <c r="B314" s="6"/>
      <c r="C314" s="4" t="s">
        <v>4765</v>
      </c>
      <c r="D314" s="9" t="s">
        <v>4766</v>
      </c>
    </row>
    <row r="315" spans="1:4" x14ac:dyDescent="0.3">
      <c r="A315" s="6" t="s">
        <v>50</v>
      </c>
      <c r="B315" s="6"/>
      <c r="C315" s="4" t="s">
        <v>4767</v>
      </c>
      <c r="D315" s="9" t="s">
        <v>4193</v>
      </c>
    </row>
    <row r="316" spans="1:4" x14ac:dyDescent="0.3">
      <c r="A316" s="6" t="s">
        <v>50</v>
      </c>
      <c r="B316" s="6"/>
      <c r="C316" s="4" t="s">
        <v>4768</v>
      </c>
      <c r="D316" s="9" t="s">
        <v>4769</v>
      </c>
    </row>
    <row r="317" spans="1:4" x14ac:dyDescent="0.3">
      <c r="A317" s="6" t="s">
        <v>50</v>
      </c>
      <c r="B317" s="6"/>
      <c r="C317" s="4" t="s">
        <v>4770</v>
      </c>
      <c r="D317" s="9" t="s">
        <v>4771</v>
      </c>
    </row>
    <row r="318" spans="1:4" x14ac:dyDescent="0.3">
      <c r="A318" s="6" t="s">
        <v>50</v>
      </c>
      <c r="B318" s="6"/>
      <c r="C318" s="4" t="s">
        <v>4772</v>
      </c>
      <c r="D318" s="9" t="s">
        <v>4773</v>
      </c>
    </row>
    <row r="319" spans="1:4" x14ac:dyDescent="0.3">
      <c r="A319" s="6" t="s">
        <v>50</v>
      </c>
      <c r="B319" s="6"/>
      <c r="C319" s="4" t="s">
        <v>4322</v>
      </c>
      <c r="D319" s="9" t="s">
        <v>4323</v>
      </c>
    </row>
    <row r="320" spans="1:4" x14ac:dyDescent="0.3">
      <c r="A320" s="6" t="s">
        <v>50</v>
      </c>
      <c r="B320" s="6"/>
      <c r="C320" s="4" t="s">
        <v>4774</v>
      </c>
      <c r="D320" s="9" t="s">
        <v>4775</v>
      </c>
    </row>
    <row r="321" spans="1:4" x14ac:dyDescent="0.3">
      <c r="A321" s="6" t="s">
        <v>50</v>
      </c>
      <c r="B321" s="6"/>
      <c r="C321" s="4" t="s">
        <v>4776</v>
      </c>
      <c r="D321" s="9" t="s">
        <v>4777</v>
      </c>
    </row>
    <row r="322" spans="1:4" x14ac:dyDescent="0.3">
      <c r="A322" s="6" t="s">
        <v>50</v>
      </c>
      <c r="B322" s="6"/>
      <c r="C322" s="4" t="s">
        <v>4778</v>
      </c>
      <c r="D322" s="9" t="s">
        <v>4779</v>
      </c>
    </row>
    <row r="323" spans="1:4" x14ac:dyDescent="0.3">
      <c r="A323" s="6" t="s">
        <v>50</v>
      </c>
      <c r="B323" s="6"/>
      <c r="C323" s="4" t="s">
        <v>4780</v>
      </c>
      <c r="D323" s="9" t="s">
        <v>4781</v>
      </c>
    </row>
    <row r="324" spans="1:4" x14ac:dyDescent="0.3">
      <c r="A324" s="6" t="s">
        <v>50</v>
      </c>
      <c r="B324" s="6"/>
      <c r="C324" s="4" t="s">
        <v>4782</v>
      </c>
      <c r="D324" s="9" t="s">
        <v>4783</v>
      </c>
    </row>
    <row r="325" spans="1:4" x14ac:dyDescent="0.3">
      <c r="A325" s="6" t="s">
        <v>50</v>
      </c>
      <c r="B325" s="6"/>
      <c r="C325" s="4" t="s">
        <v>4784</v>
      </c>
      <c r="D325" s="9" t="s">
        <v>4785</v>
      </c>
    </row>
    <row r="326" spans="1:4" x14ac:dyDescent="0.3">
      <c r="A326" s="6" t="s">
        <v>50</v>
      </c>
      <c r="B326" s="6"/>
      <c r="C326" s="4" t="s">
        <v>4786</v>
      </c>
      <c r="D326" s="9" t="s">
        <v>4787</v>
      </c>
    </row>
    <row r="327" spans="1:4" x14ac:dyDescent="0.3">
      <c r="A327" s="6" t="s">
        <v>50</v>
      </c>
      <c r="B327" s="6"/>
      <c r="C327" s="4" t="s">
        <v>4788</v>
      </c>
      <c r="D327" s="9" t="s">
        <v>4789</v>
      </c>
    </row>
    <row r="328" spans="1:4" ht="24" x14ac:dyDescent="0.3">
      <c r="A328" s="6" t="s">
        <v>50</v>
      </c>
      <c r="B328" s="6"/>
      <c r="C328" s="4" t="s">
        <v>4790</v>
      </c>
      <c r="D328" s="9" t="s">
        <v>4333</v>
      </c>
    </row>
    <row r="329" spans="1:4" x14ac:dyDescent="0.3">
      <c r="A329" s="6" t="s">
        <v>1396</v>
      </c>
      <c r="B329" s="6"/>
      <c r="C329" s="4" t="s">
        <v>4791</v>
      </c>
      <c r="D329" s="9" t="s">
        <v>4792</v>
      </c>
    </row>
    <row r="330" spans="1:4" ht="25.5" x14ac:dyDescent="0.3">
      <c r="A330" s="6" t="s">
        <v>1396</v>
      </c>
      <c r="B330" s="6"/>
      <c r="C330" s="4" t="s">
        <v>4793</v>
      </c>
      <c r="D330" s="9" t="s">
        <v>3988</v>
      </c>
    </row>
    <row r="331" spans="1:4" ht="24" x14ac:dyDescent="0.3">
      <c r="A331" s="6" t="s">
        <v>1396</v>
      </c>
      <c r="B331" s="6"/>
      <c r="C331" s="4" t="s">
        <v>4794</v>
      </c>
      <c r="D331" s="9" t="s">
        <v>3163</v>
      </c>
    </row>
    <row r="332" spans="1:4" ht="25.5" x14ac:dyDescent="0.3">
      <c r="A332" s="6" t="s">
        <v>1396</v>
      </c>
      <c r="B332" s="6"/>
      <c r="C332" s="4" t="s">
        <v>4795</v>
      </c>
      <c r="D332" s="9" t="s">
        <v>4796</v>
      </c>
    </row>
    <row r="333" spans="1:4" ht="25.5" x14ac:dyDescent="0.3">
      <c r="A333" s="6" t="s">
        <v>1396</v>
      </c>
      <c r="B333" s="6"/>
      <c r="C333" s="4" t="s">
        <v>4797</v>
      </c>
      <c r="D333" s="9" t="s">
        <v>4798</v>
      </c>
    </row>
    <row r="334" spans="1:4" ht="25.5" x14ac:dyDescent="0.3">
      <c r="A334" s="6" t="s">
        <v>1396</v>
      </c>
      <c r="B334" s="6"/>
      <c r="C334" s="4" t="s">
        <v>4799</v>
      </c>
      <c r="D334" s="9" t="s">
        <v>4052</v>
      </c>
    </row>
    <row r="335" spans="1:4" x14ac:dyDescent="0.3">
      <c r="A335" s="6" t="s">
        <v>1396</v>
      </c>
      <c r="B335" s="6"/>
      <c r="C335" s="4" t="s">
        <v>4800</v>
      </c>
      <c r="D335" s="9" t="s">
        <v>4801</v>
      </c>
    </row>
    <row r="336" spans="1:4" x14ac:dyDescent="0.3">
      <c r="A336" s="6" t="s">
        <v>1396</v>
      </c>
      <c r="B336" s="6"/>
      <c r="C336" s="4" t="s">
        <v>4802</v>
      </c>
      <c r="D336" s="9" t="s">
        <v>4023</v>
      </c>
    </row>
    <row r="337" spans="1:4" x14ac:dyDescent="0.3">
      <c r="A337" s="6" t="s">
        <v>1396</v>
      </c>
      <c r="B337" s="6"/>
      <c r="C337" s="4" t="s">
        <v>4803</v>
      </c>
      <c r="D337" s="9" t="s">
        <v>4027</v>
      </c>
    </row>
    <row r="338" spans="1:4" x14ac:dyDescent="0.3">
      <c r="A338" s="6" t="s">
        <v>1396</v>
      </c>
      <c r="B338" s="6"/>
      <c r="C338" s="4" t="s">
        <v>4804</v>
      </c>
      <c r="D338" s="9" t="s">
        <v>4034</v>
      </c>
    </row>
    <row r="339" spans="1:4" ht="25.5" x14ac:dyDescent="0.3">
      <c r="A339" s="6" t="s">
        <v>1396</v>
      </c>
      <c r="B339" s="6"/>
      <c r="C339" s="4" t="s">
        <v>4805</v>
      </c>
      <c r="D339" s="9" t="s">
        <v>4010</v>
      </c>
    </row>
    <row r="340" spans="1:4" ht="25.5" x14ac:dyDescent="0.3">
      <c r="A340" s="6" t="s">
        <v>1396</v>
      </c>
      <c r="B340" s="6"/>
      <c r="C340" s="4" t="s">
        <v>4806</v>
      </c>
      <c r="D340" s="9" t="s">
        <v>4807</v>
      </c>
    </row>
    <row r="341" spans="1:4" ht="25.5" x14ac:dyDescent="0.3">
      <c r="A341" s="6" t="s">
        <v>1396</v>
      </c>
      <c r="B341" s="6"/>
      <c r="C341" s="4" t="s">
        <v>4808</v>
      </c>
      <c r="D341" s="9" t="s">
        <v>4809</v>
      </c>
    </row>
    <row r="342" spans="1:4" ht="25.5" x14ac:dyDescent="0.3">
      <c r="A342" s="6" t="s">
        <v>1396</v>
      </c>
      <c r="B342" s="6"/>
      <c r="C342" s="4" t="s">
        <v>4810</v>
      </c>
      <c r="D342" s="9" t="s">
        <v>4003</v>
      </c>
    </row>
    <row r="343" spans="1:4" ht="25.5" x14ac:dyDescent="0.3">
      <c r="A343" s="6" t="s">
        <v>1396</v>
      </c>
      <c r="B343" s="6"/>
      <c r="C343" s="4" t="s">
        <v>4811</v>
      </c>
      <c r="D343" s="9" t="s">
        <v>4812</v>
      </c>
    </row>
    <row r="344" spans="1:4" ht="25.5" x14ac:dyDescent="0.3">
      <c r="A344" s="6" t="s">
        <v>1396</v>
      </c>
      <c r="B344" s="6"/>
      <c r="C344" s="4" t="s">
        <v>4813</v>
      </c>
      <c r="D344" s="9" t="s">
        <v>4006</v>
      </c>
    </row>
    <row r="345" spans="1:4" x14ac:dyDescent="0.3">
      <c r="A345" s="6" t="s">
        <v>1396</v>
      </c>
      <c r="B345" s="6"/>
      <c r="C345" s="4" t="s">
        <v>4814</v>
      </c>
      <c r="D345" s="9" t="s">
        <v>4815</v>
      </c>
    </row>
    <row r="346" spans="1:4" x14ac:dyDescent="0.3">
      <c r="A346" s="6" t="s">
        <v>1396</v>
      </c>
      <c r="B346" s="6"/>
      <c r="C346" s="4" t="s">
        <v>4816</v>
      </c>
      <c r="D346" s="9" t="s">
        <v>4817</v>
      </c>
    </row>
    <row r="347" spans="1:4" ht="25.5" x14ac:dyDescent="0.3">
      <c r="A347" s="6" t="s">
        <v>1396</v>
      </c>
      <c r="B347" s="6"/>
      <c r="C347" s="4" t="s">
        <v>4818</v>
      </c>
      <c r="D347" s="9" t="s">
        <v>4819</v>
      </c>
    </row>
    <row r="348" spans="1:4" x14ac:dyDescent="0.3">
      <c r="A348" s="6" t="s">
        <v>1396</v>
      </c>
      <c r="B348" s="6"/>
      <c r="C348" s="4" t="s">
        <v>4820</v>
      </c>
      <c r="D348" s="9" t="s">
        <v>4821</v>
      </c>
    </row>
    <row r="349" spans="1:4" x14ac:dyDescent="0.3">
      <c r="A349" s="6" t="s">
        <v>1396</v>
      </c>
      <c r="B349" s="6"/>
      <c r="C349" s="4" t="s">
        <v>4822</v>
      </c>
      <c r="D349" s="9" t="s">
        <v>4823</v>
      </c>
    </row>
    <row r="350" spans="1:4" ht="25.5" x14ac:dyDescent="0.3">
      <c r="A350" s="6" t="s">
        <v>1396</v>
      </c>
      <c r="B350" s="6"/>
      <c r="C350" s="4" t="s">
        <v>4824</v>
      </c>
      <c r="D350" s="9" t="s">
        <v>4825</v>
      </c>
    </row>
    <row r="351" spans="1:4" ht="25.5" x14ac:dyDescent="0.3">
      <c r="A351" s="6" t="s">
        <v>1396</v>
      </c>
      <c r="B351" s="6"/>
      <c r="C351" s="4" t="s">
        <v>4826</v>
      </c>
      <c r="D351" s="9" t="s">
        <v>4827</v>
      </c>
    </row>
    <row r="352" spans="1:4" ht="25.5" x14ac:dyDescent="0.3">
      <c r="A352" s="6" t="s">
        <v>1396</v>
      </c>
      <c r="B352" s="6"/>
      <c r="C352" s="4" t="s">
        <v>4828</v>
      </c>
      <c r="D352" s="9" t="s">
        <v>4829</v>
      </c>
    </row>
    <row r="353" spans="1:4" ht="25.5" x14ac:dyDescent="0.3">
      <c r="A353" s="6" t="s">
        <v>1396</v>
      </c>
      <c r="B353" s="6"/>
      <c r="C353" s="4" t="s">
        <v>4830</v>
      </c>
      <c r="D353" s="9" t="s">
        <v>4831</v>
      </c>
    </row>
    <row r="354" spans="1:4" x14ac:dyDescent="0.3">
      <c r="A354" s="6" t="s">
        <v>1396</v>
      </c>
      <c r="B354" s="6"/>
      <c r="C354" s="4" t="s">
        <v>4832</v>
      </c>
      <c r="D354" s="9" t="s">
        <v>4833</v>
      </c>
    </row>
    <row r="355" spans="1:4" x14ac:dyDescent="0.3">
      <c r="A355" s="6" t="s">
        <v>1396</v>
      </c>
      <c r="B355" s="6"/>
      <c r="C355" s="4" t="s">
        <v>4834</v>
      </c>
      <c r="D355" s="9" t="s">
        <v>4835</v>
      </c>
    </row>
    <row r="356" spans="1:4" ht="25.5" x14ac:dyDescent="0.3">
      <c r="A356" s="6" t="s">
        <v>1396</v>
      </c>
      <c r="B356" s="6"/>
      <c r="C356" s="4" t="s">
        <v>4836</v>
      </c>
      <c r="D356" s="9" t="s">
        <v>4837</v>
      </c>
    </row>
    <row r="357" spans="1:4" x14ac:dyDescent="0.3">
      <c r="A357" s="6" t="s">
        <v>1396</v>
      </c>
      <c r="B357" s="6"/>
      <c r="C357" s="4" t="s">
        <v>4838</v>
      </c>
      <c r="D357" s="9" t="s">
        <v>4839</v>
      </c>
    </row>
    <row r="358" spans="1:4" x14ac:dyDescent="0.3">
      <c r="A358" s="6" t="s">
        <v>1396</v>
      </c>
      <c r="B358" s="6"/>
      <c r="C358" s="4" t="s">
        <v>4840</v>
      </c>
      <c r="D358" s="9" t="s">
        <v>4841</v>
      </c>
    </row>
    <row r="359" spans="1:4" x14ac:dyDescent="0.3">
      <c r="A359" s="6" t="s">
        <v>1396</v>
      </c>
      <c r="B359" s="6"/>
      <c r="C359" s="4" t="s">
        <v>4842</v>
      </c>
      <c r="D359" s="9" t="s">
        <v>4843</v>
      </c>
    </row>
    <row r="360" spans="1:4" x14ac:dyDescent="0.3">
      <c r="A360" s="6" t="s">
        <v>1396</v>
      </c>
      <c r="B360" s="6"/>
      <c r="C360" s="4" t="s">
        <v>4844</v>
      </c>
      <c r="D360" s="9" t="s">
        <v>4845</v>
      </c>
    </row>
    <row r="361" spans="1:4" ht="25.5" x14ac:dyDescent="0.3">
      <c r="A361" s="6" t="s">
        <v>1396</v>
      </c>
      <c r="B361" s="6"/>
      <c r="C361" s="4" t="s">
        <v>4846</v>
      </c>
      <c r="D361" s="9" t="s">
        <v>4847</v>
      </c>
    </row>
    <row r="362" spans="1:4" x14ac:dyDescent="0.3">
      <c r="A362" s="6" t="s">
        <v>1396</v>
      </c>
      <c r="B362" s="6"/>
      <c r="C362" s="4" t="s">
        <v>4848</v>
      </c>
      <c r="D362" s="9" t="s">
        <v>4849</v>
      </c>
    </row>
    <row r="363" spans="1:4" x14ac:dyDescent="0.3">
      <c r="A363" s="6" t="s">
        <v>1396</v>
      </c>
      <c r="B363" s="6"/>
      <c r="C363" s="4" t="s">
        <v>4850</v>
      </c>
      <c r="D363" s="9" t="s">
        <v>4851</v>
      </c>
    </row>
    <row r="364" spans="1:4" ht="25.5" x14ac:dyDescent="0.3">
      <c r="A364" s="6" t="s">
        <v>1396</v>
      </c>
      <c r="B364" s="6"/>
      <c r="C364" s="4" t="s">
        <v>4852</v>
      </c>
      <c r="D364" s="9" t="s">
        <v>4031</v>
      </c>
    </row>
    <row r="365" spans="1:4" ht="25.5" x14ac:dyDescent="0.3">
      <c r="A365" s="6" t="s">
        <v>1396</v>
      </c>
      <c r="B365" s="6"/>
      <c r="C365" s="4" t="s">
        <v>4853</v>
      </c>
      <c r="D365" s="9" t="s">
        <v>4854</v>
      </c>
    </row>
    <row r="366" spans="1:4" x14ac:dyDescent="0.3">
      <c r="A366" s="6" t="s">
        <v>1396</v>
      </c>
      <c r="B366" s="6"/>
      <c r="C366" s="4" t="s">
        <v>4855</v>
      </c>
      <c r="D366" s="9" t="s">
        <v>4856</v>
      </c>
    </row>
    <row r="367" spans="1:4" x14ac:dyDescent="0.3">
      <c r="A367" s="6" t="s">
        <v>1396</v>
      </c>
      <c r="B367" s="6"/>
      <c r="C367" s="4" t="s">
        <v>4857</v>
      </c>
      <c r="D367" s="9" t="s">
        <v>4858</v>
      </c>
    </row>
    <row r="368" spans="1:4" ht="25.5" x14ac:dyDescent="0.3">
      <c r="A368" s="6" t="s">
        <v>1396</v>
      </c>
      <c r="B368" s="6"/>
      <c r="C368" s="4" t="s">
        <v>4859</v>
      </c>
      <c r="D368" s="9" t="s">
        <v>4056</v>
      </c>
    </row>
    <row r="369" spans="1:4" ht="25.5" x14ac:dyDescent="0.3">
      <c r="A369" s="6" t="s">
        <v>1396</v>
      </c>
      <c r="B369" s="6"/>
      <c r="C369" s="4" t="s">
        <v>4860</v>
      </c>
      <c r="D369" s="9" t="s">
        <v>4046</v>
      </c>
    </row>
    <row r="370" spans="1:4" ht="25.5" x14ac:dyDescent="0.3">
      <c r="A370" s="6" t="s">
        <v>1396</v>
      </c>
      <c r="B370" s="6"/>
      <c r="C370" s="4" t="s">
        <v>4861</v>
      </c>
      <c r="D370" s="9" t="s">
        <v>4862</v>
      </c>
    </row>
    <row r="371" spans="1:4" x14ac:dyDescent="0.3">
      <c r="A371" s="6" t="s">
        <v>1396</v>
      </c>
      <c r="B371" s="6"/>
      <c r="C371" s="4" t="s">
        <v>4863</v>
      </c>
      <c r="D371" s="9" t="s">
        <v>4864</v>
      </c>
    </row>
    <row r="372" spans="1:4" ht="25.5" x14ac:dyDescent="0.3">
      <c r="A372" s="6" t="s">
        <v>1396</v>
      </c>
      <c r="B372" s="6"/>
      <c r="C372" s="4" t="s">
        <v>4865</v>
      </c>
      <c r="D372" s="9" t="s">
        <v>4866</v>
      </c>
    </row>
    <row r="373" spans="1:4" x14ac:dyDescent="0.3">
      <c r="A373" s="6" t="s">
        <v>1396</v>
      </c>
      <c r="B373" s="6"/>
      <c r="C373" s="4" t="s">
        <v>4867</v>
      </c>
      <c r="D373" s="9" t="s">
        <v>4868</v>
      </c>
    </row>
    <row r="374" spans="1:4" ht="24" x14ac:dyDescent="0.3">
      <c r="A374" s="6" t="s">
        <v>1396</v>
      </c>
      <c r="B374" s="6"/>
      <c r="C374" s="4" t="s">
        <v>4869</v>
      </c>
      <c r="D374" s="9" t="s">
        <v>4870</v>
      </c>
    </row>
    <row r="375" spans="1:4" x14ac:dyDescent="0.3">
      <c r="A375" s="6" t="s">
        <v>1396</v>
      </c>
      <c r="B375" s="6"/>
      <c r="C375" s="4" t="s">
        <v>4871</v>
      </c>
      <c r="D375" s="9" t="s">
        <v>4872</v>
      </c>
    </row>
    <row r="376" spans="1:4" x14ac:dyDescent="0.3">
      <c r="A376" s="6" t="s">
        <v>1396</v>
      </c>
      <c r="B376" s="6"/>
      <c r="C376" s="4" t="s">
        <v>4873</v>
      </c>
      <c r="D376" s="9" t="s">
        <v>4874</v>
      </c>
    </row>
    <row r="377" spans="1:4" x14ac:dyDescent="0.3">
      <c r="A377" s="6" t="s">
        <v>1396</v>
      </c>
      <c r="B377" s="6"/>
      <c r="C377" s="4" t="s">
        <v>4875</v>
      </c>
      <c r="D377" s="9" t="s">
        <v>4876</v>
      </c>
    </row>
    <row r="378" spans="1:4" x14ac:dyDescent="0.3">
      <c r="A378" s="6" t="s">
        <v>1431</v>
      </c>
      <c r="B378" s="6"/>
      <c r="C378" s="4" t="s">
        <v>4877</v>
      </c>
      <c r="D378" s="9" t="s">
        <v>4059</v>
      </c>
    </row>
    <row r="379" spans="1:4" x14ac:dyDescent="0.3">
      <c r="A379" s="6" t="s">
        <v>1431</v>
      </c>
      <c r="B379" s="6"/>
      <c r="C379" s="4" t="s">
        <v>4878</v>
      </c>
      <c r="D379" s="9" t="s">
        <v>4063</v>
      </c>
    </row>
    <row r="380" spans="1:4" ht="25.5" x14ac:dyDescent="0.3">
      <c r="A380" s="6" t="s">
        <v>1431</v>
      </c>
      <c r="B380" s="6"/>
      <c r="C380" s="4" t="s">
        <v>4879</v>
      </c>
      <c r="D380" s="9" t="s">
        <v>4880</v>
      </c>
    </row>
    <row r="381" spans="1:4" x14ac:dyDescent="0.3">
      <c r="A381" s="6" t="s">
        <v>1431</v>
      </c>
      <c r="B381" s="6"/>
      <c r="C381" s="4" t="s">
        <v>4881</v>
      </c>
      <c r="D381" s="9" t="s">
        <v>4067</v>
      </c>
    </row>
    <row r="382" spans="1:4" x14ac:dyDescent="0.3">
      <c r="A382" s="6" t="s">
        <v>1431</v>
      </c>
      <c r="B382" s="6"/>
      <c r="C382" s="4" t="s">
        <v>4882</v>
      </c>
      <c r="D382" s="9" t="s">
        <v>4883</v>
      </c>
    </row>
    <row r="383" spans="1:4" x14ac:dyDescent="0.3">
      <c r="A383" s="6" t="s">
        <v>1431</v>
      </c>
      <c r="B383" s="6"/>
      <c r="C383" s="4" t="s">
        <v>4884</v>
      </c>
      <c r="D383" s="9" t="s">
        <v>4071</v>
      </c>
    </row>
    <row r="384" spans="1:4" x14ac:dyDescent="0.3">
      <c r="A384" s="6" t="s">
        <v>1431</v>
      </c>
      <c r="B384" s="6"/>
      <c r="C384" s="4" t="s">
        <v>4885</v>
      </c>
      <c r="D384" s="9" t="s">
        <v>4075</v>
      </c>
    </row>
    <row r="385" spans="1:4" x14ac:dyDescent="0.3">
      <c r="A385" s="6" t="s">
        <v>1431</v>
      </c>
      <c r="B385" s="6"/>
      <c r="C385" s="4" t="s">
        <v>4886</v>
      </c>
      <c r="D385" s="9" t="s">
        <v>4078</v>
      </c>
    </row>
    <row r="386" spans="1:4" x14ac:dyDescent="0.3">
      <c r="A386" s="6" t="s">
        <v>1431</v>
      </c>
      <c r="B386" s="6"/>
      <c r="C386" s="4" t="s">
        <v>4887</v>
      </c>
      <c r="D386" s="9" t="s">
        <v>3381</v>
      </c>
    </row>
    <row r="387" spans="1:4" ht="24" x14ac:dyDescent="0.3">
      <c r="A387" s="6" t="s">
        <v>1431</v>
      </c>
      <c r="B387" s="6"/>
      <c r="C387" s="4" t="s">
        <v>4888</v>
      </c>
      <c r="D387" s="9" t="s">
        <v>4081</v>
      </c>
    </row>
    <row r="388" spans="1:4" x14ac:dyDescent="0.3">
      <c r="A388" s="6" t="s">
        <v>1431</v>
      </c>
      <c r="B388" s="6"/>
      <c r="C388" s="4" t="s">
        <v>4889</v>
      </c>
      <c r="D388" s="9" t="s">
        <v>4890</v>
      </c>
    </row>
    <row r="389" spans="1:4" x14ac:dyDescent="0.3">
      <c r="A389" s="6" t="s">
        <v>1431</v>
      </c>
      <c r="B389" s="6"/>
      <c r="C389" s="4" t="s">
        <v>4891</v>
      </c>
      <c r="D389" s="9" t="s">
        <v>4085</v>
      </c>
    </row>
    <row r="390" spans="1:4" ht="25.5" x14ac:dyDescent="0.3">
      <c r="A390" s="6" t="s">
        <v>1431</v>
      </c>
      <c r="B390" s="6"/>
      <c r="C390" s="4" t="s">
        <v>4892</v>
      </c>
      <c r="D390" s="9" t="s">
        <v>3352</v>
      </c>
    </row>
    <row r="391" spans="1:4" ht="25.5" x14ac:dyDescent="0.3">
      <c r="A391" s="6" t="s">
        <v>1431</v>
      </c>
      <c r="B391" s="6"/>
      <c r="C391" s="4" t="s">
        <v>4893</v>
      </c>
      <c r="D391" s="9" t="s">
        <v>4089</v>
      </c>
    </row>
    <row r="392" spans="1:4" x14ac:dyDescent="0.3">
      <c r="A392" s="6" t="s">
        <v>1431</v>
      </c>
      <c r="B392" s="6"/>
      <c r="C392" s="4" t="s">
        <v>4894</v>
      </c>
      <c r="D392" s="9" t="s">
        <v>4895</v>
      </c>
    </row>
    <row r="393" spans="1:4" ht="25.5" x14ac:dyDescent="0.3">
      <c r="A393" s="6" t="s">
        <v>1431</v>
      </c>
      <c r="B393" s="6"/>
      <c r="C393" s="4" t="s">
        <v>4896</v>
      </c>
      <c r="D393" s="9" t="s">
        <v>3370</v>
      </c>
    </row>
    <row r="394" spans="1:4" ht="25.5" x14ac:dyDescent="0.3">
      <c r="A394" s="6" t="s">
        <v>1431</v>
      </c>
      <c r="B394" s="6"/>
      <c r="C394" s="4" t="s">
        <v>4897</v>
      </c>
      <c r="D394" s="9" t="s">
        <v>3374</v>
      </c>
    </row>
    <row r="395" spans="1:4" ht="25.5" x14ac:dyDescent="0.3">
      <c r="A395" s="6" t="s">
        <v>1431</v>
      </c>
      <c r="B395" s="6"/>
      <c r="C395" s="4" t="s">
        <v>4898</v>
      </c>
      <c r="D395" s="9" t="s">
        <v>4899</v>
      </c>
    </row>
    <row r="396" spans="1:4" x14ac:dyDescent="0.3">
      <c r="A396" s="6" t="s">
        <v>1431</v>
      </c>
      <c r="B396" s="6"/>
      <c r="C396" s="4" t="s">
        <v>4900</v>
      </c>
      <c r="D396" s="9" t="s">
        <v>4901</v>
      </c>
    </row>
    <row r="397" spans="1:4" x14ac:dyDescent="0.3">
      <c r="A397" s="6" t="s">
        <v>1431</v>
      </c>
      <c r="B397" s="6"/>
      <c r="C397" s="4" t="s">
        <v>4902</v>
      </c>
      <c r="D397" s="9" t="s">
        <v>4092</v>
      </c>
    </row>
    <row r="398" spans="1:4" x14ac:dyDescent="0.3">
      <c r="A398" s="6" t="s">
        <v>1431</v>
      </c>
      <c r="B398" s="6"/>
      <c r="C398" s="4" t="s">
        <v>4903</v>
      </c>
      <c r="D398" s="9" t="s">
        <v>4904</v>
      </c>
    </row>
    <row r="399" spans="1:4" x14ac:dyDescent="0.3">
      <c r="A399" s="6" t="s">
        <v>1431</v>
      </c>
      <c r="B399" s="6"/>
      <c r="C399" s="4" t="s">
        <v>4905</v>
      </c>
      <c r="D399" s="9" t="s">
        <v>4906</v>
      </c>
    </row>
    <row r="400" spans="1:4" x14ac:dyDescent="0.3">
      <c r="A400" s="6" t="s">
        <v>1431</v>
      </c>
      <c r="B400" s="6"/>
      <c r="C400" s="4" t="s">
        <v>4907</v>
      </c>
      <c r="D400" s="9" t="s">
        <v>4908</v>
      </c>
    </row>
    <row r="401" spans="1:4" x14ac:dyDescent="0.3">
      <c r="A401" s="6" t="s">
        <v>1431</v>
      </c>
      <c r="B401" s="6"/>
      <c r="C401" s="4" t="s">
        <v>4909</v>
      </c>
      <c r="D401" s="9" t="s">
        <v>4910</v>
      </c>
    </row>
    <row r="402" spans="1:4" x14ac:dyDescent="0.3">
      <c r="A402" s="6" t="s">
        <v>1431</v>
      </c>
      <c r="B402" s="6"/>
      <c r="C402" s="4" t="s">
        <v>4911</v>
      </c>
      <c r="D402" s="9" t="s">
        <v>4912</v>
      </c>
    </row>
    <row r="403" spans="1:4" x14ac:dyDescent="0.3">
      <c r="A403" s="6" t="s">
        <v>1431</v>
      </c>
      <c r="B403" s="6"/>
      <c r="C403" s="4" t="s">
        <v>4913</v>
      </c>
      <c r="D403" s="9" t="s">
        <v>4914</v>
      </c>
    </row>
    <row r="404" spans="1:4" ht="25.5" x14ac:dyDescent="0.3">
      <c r="A404" s="6" t="s">
        <v>1431</v>
      </c>
      <c r="B404" s="6"/>
      <c r="C404" s="4" t="s">
        <v>4915</v>
      </c>
      <c r="D404" s="9" t="s">
        <v>4916</v>
      </c>
    </row>
    <row r="405" spans="1:4" x14ac:dyDescent="0.3">
      <c r="A405" s="6" t="s">
        <v>1431</v>
      </c>
      <c r="B405" s="6"/>
      <c r="C405" s="4" t="s">
        <v>4917</v>
      </c>
      <c r="D405" s="9" t="s">
        <v>4918</v>
      </c>
    </row>
    <row r="406" spans="1:4" x14ac:dyDescent="0.3">
      <c r="A406" s="6" t="s">
        <v>1431</v>
      </c>
      <c r="B406" s="6"/>
      <c r="C406" s="4" t="s">
        <v>4919</v>
      </c>
      <c r="D406" s="9" t="s">
        <v>4920</v>
      </c>
    </row>
    <row r="407" spans="1:4" ht="25.5" x14ac:dyDescent="0.3">
      <c r="A407" s="6" t="s">
        <v>1431</v>
      </c>
      <c r="B407" s="6"/>
      <c r="C407" s="4" t="s">
        <v>4921</v>
      </c>
      <c r="D407" s="9" t="s">
        <v>4922</v>
      </c>
    </row>
    <row r="408" spans="1:4" x14ac:dyDescent="0.3">
      <c r="A408" s="6" t="s">
        <v>1431</v>
      </c>
      <c r="B408" s="6"/>
      <c r="C408" s="4" t="s">
        <v>4923</v>
      </c>
      <c r="D408" s="9" t="s">
        <v>4924</v>
      </c>
    </row>
    <row r="409" spans="1:4" x14ac:dyDescent="0.3">
      <c r="A409" s="6" t="s">
        <v>1431</v>
      </c>
      <c r="B409" s="6"/>
      <c r="C409" s="4" t="s">
        <v>4925</v>
      </c>
      <c r="D409" s="9" t="s">
        <v>4095</v>
      </c>
    </row>
    <row r="410" spans="1:4" ht="25.5" x14ac:dyDescent="0.3">
      <c r="A410" s="6" t="s">
        <v>1431</v>
      </c>
      <c r="B410" s="6"/>
      <c r="C410" s="4" t="s">
        <v>4926</v>
      </c>
      <c r="D410" s="9" t="s">
        <v>4098</v>
      </c>
    </row>
    <row r="411" spans="1:4" ht="24" x14ac:dyDescent="0.3">
      <c r="A411" s="6" t="s">
        <v>1431</v>
      </c>
      <c r="B411" s="6"/>
      <c r="C411" s="4" t="s">
        <v>4927</v>
      </c>
      <c r="D411" s="9" t="s">
        <v>4101</v>
      </c>
    </row>
    <row r="412" spans="1:4" ht="24" x14ac:dyDescent="0.3">
      <c r="A412" s="6" t="s">
        <v>1431</v>
      </c>
      <c r="B412" s="6"/>
      <c r="C412" s="4" t="s">
        <v>4928</v>
      </c>
      <c r="D412" s="9" t="s">
        <v>3167</v>
      </c>
    </row>
    <row r="413" spans="1:4" ht="25.5" x14ac:dyDescent="0.3">
      <c r="A413" s="6" t="s">
        <v>1431</v>
      </c>
      <c r="B413" s="6"/>
      <c r="C413" s="4" t="s">
        <v>4929</v>
      </c>
      <c r="D413" s="9" t="s">
        <v>4930</v>
      </c>
    </row>
    <row r="414" spans="1:4" x14ac:dyDescent="0.3">
      <c r="A414" s="6" t="s">
        <v>1431</v>
      </c>
      <c r="B414" s="6"/>
      <c r="C414" s="4" t="s">
        <v>4931</v>
      </c>
      <c r="D414" s="9" t="s">
        <v>4112</v>
      </c>
    </row>
    <row r="415" spans="1:4" ht="24" x14ac:dyDescent="0.3">
      <c r="A415" s="6" t="s">
        <v>1431</v>
      </c>
      <c r="B415" s="6"/>
      <c r="C415" s="4" t="s">
        <v>4932</v>
      </c>
      <c r="D415" s="9" t="s">
        <v>4933</v>
      </c>
    </row>
    <row r="416" spans="1:4" x14ac:dyDescent="0.3">
      <c r="A416" s="6" t="s">
        <v>1431</v>
      </c>
      <c r="B416" s="6"/>
      <c r="C416" s="4" t="s">
        <v>4934</v>
      </c>
      <c r="D416" s="9" t="s">
        <v>4116</v>
      </c>
    </row>
    <row r="417" spans="1:4" x14ac:dyDescent="0.3">
      <c r="A417" s="6" t="s">
        <v>1431</v>
      </c>
      <c r="B417" s="6"/>
      <c r="C417" s="4" t="s">
        <v>4935</v>
      </c>
      <c r="D417" s="9" t="s">
        <v>4936</v>
      </c>
    </row>
    <row r="418" spans="1:4" x14ac:dyDescent="0.3">
      <c r="A418" s="6" t="s">
        <v>1431</v>
      </c>
      <c r="B418" s="6"/>
      <c r="C418" s="4" t="s">
        <v>4937</v>
      </c>
      <c r="D418" s="9" t="s">
        <v>4938</v>
      </c>
    </row>
    <row r="419" spans="1:4" ht="25.5" x14ac:dyDescent="0.3">
      <c r="A419" s="6" t="s">
        <v>1431</v>
      </c>
      <c r="B419" s="6"/>
      <c r="C419" s="4" t="s">
        <v>4939</v>
      </c>
      <c r="D419" s="9" t="s">
        <v>4940</v>
      </c>
    </row>
    <row r="420" spans="1:4" x14ac:dyDescent="0.3">
      <c r="A420" s="6" t="s">
        <v>1431</v>
      </c>
      <c r="B420" s="6"/>
      <c r="C420" s="4" t="s">
        <v>4941</v>
      </c>
      <c r="D420" s="9" t="s">
        <v>3360</v>
      </c>
    </row>
    <row r="421" spans="1:4" x14ac:dyDescent="0.3">
      <c r="A421" s="6" t="s">
        <v>1431</v>
      </c>
      <c r="B421" s="6"/>
      <c r="C421" s="4" t="s">
        <v>4942</v>
      </c>
      <c r="D421" s="9" t="s">
        <v>4943</v>
      </c>
    </row>
    <row r="422" spans="1:4" x14ac:dyDescent="0.3">
      <c r="A422" s="6" t="s">
        <v>1431</v>
      </c>
      <c r="B422" s="6"/>
      <c r="C422" s="4" t="s">
        <v>4944</v>
      </c>
      <c r="D422" s="9" t="s">
        <v>4105</v>
      </c>
    </row>
    <row r="423" spans="1:4" x14ac:dyDescent="0.3">
      <c r="A423" s="6" t="s">
        <v>1431</v>
      </c>
      <c r="B423" s="6"/>
      <c r="C423" s="4" t="s">
        <v>4945</v>
      </c>
      <c r="D423" s="9" t="s">
        <v>4946</v>
      </c>
    </row>
    <row r="424" spans="1:4" x14ac:dyDescent="0.3">
      <c r="A424" s="6" t="s">
        <v>1431</v>
      </c>
      <c r="B424" s="6"/>
      <c r="C424" s="4" t="s">
        <v>4947</v>
      </c>
      <c r="D424" s="9" t="s">
        <v>4948</v>
      </c>
    </row>
    <row r="425" spans="1:4" x14ac:dyDescent="0.3">
      <c r="A425" s="6" t="s">
        <v>1431</v>
      </c>
      <c r="B425" s="6"/>
      <c r="C425" s="4" t="s">
        <v>4949</v>
      </c>
      <c r="D425" s="9" t="s">
        <v>4950</v>
      </c>
    </row>
    <row r="426" spans="1:4" x14ac:dyDescent="0.3">
      <c r="A426" s="6" t="s">
        <v>1431</v>
      </c>
      <c r="B426" s="6"/>
      <c r="C426" s="4" t="s">
        <v>4951</v>
      </c>
      <c r="D426" s="9" t="s">
        <v>4952</v>
      </c>
    </row>
    <row r="427" spans="1:4" x14ac:dyDescent="0.3">
      <c r="A427" s="6" t="s">
        <v>1431</v>
      </c>
      <c r="B427" s="6"/>
      <c r="C427" s="4" t="s">
        <v>4953</v>
      </c>
      <c r="D427" s="9" t="s">
        <v>4954</v>
      </c>
    </row>
    <row r="428" spans="1:4" x14ac:dyDescent="0.3">
      <c r="A428" s="6" t="s">
        <v>1431</v>
      </c>
      <c r="B428" s="6"/>
      <c r="C428" s="4" t="s">
        <v>4955</v>
      </c>
      <c r="D428" s="9" t="s">
        <v>4956</v>
      </c>
    </row>
    <row r="429" spans="1:4" x14ac:dyDescent="0.3">
      <c r="A429" s="6" t="s">
        <v>1431</v>
      </c>
      <c r="B429" s="6"/>
      <c r="C429" s="4" t="s">
        <v>4957</v>
      </c>
      <c r="D429" s="9" t="s">
        <v>4958</v>
      </c>
    </row>
    <row r="430" spans="1:4" x14ac:dyDescent="0.3">
      <c r="A430" s="6" t="s">
        <v>1431</v>
      </c>
      <c r="B430" s="6"/>
      <c r="C430" s="4" t="s">
        <v>4959</v>
      </c>
      <c r="D430" s="9" t="s">
        <v>4960</v>
      </c>
    </row>
    <row r="431" spans="1:4" x14ac:dyDescent="0.3">
      <c r="A431" s="6" t="s">
        <v>1431</v>
      </c>
      <c r="B431" s="6"/>
      <c r="C431" s="4" t="s">
        <v>4961</v>
      </c>
      <c r="D431" s="9" t="s">
        <v>4962</v>
      </c>
    </row>
    <row r="432" spans="1:4" x14ac:dyDescent="0.3">
      <c r="A432" s="6" t="s">
        <v>1431</v>
      </c>
      <c r="B432" s="6"/>
      <c r="C432" s="4" t="s">
        <v>4963</v>
      </c>
      <c r="D432" s="9" t="s">
        <v>4964</v>
      </c>
    </row>
    <row r="433" spans="1:4" x14ac:dyDescent="0.3">
      <c r="A433" s="6" t="s">
        <v>1431</v>
      </c>
      <c r="B433" s="6"/>
      <c r="C433" s="4" t="s">
        <v>4965</v>
      </c>
      <c r="D433" s="9" t="s">
        <v>4966</v>
      </c>
    </row>
    <row r="434" spans="1:4" x14ac:dyDescent="0.3">
      <c r="A434" s="6" t="s">
        <v>1431</v>
      </c>
      <c r="B434" s="6"/>
      <c r="C434" s="4" t="s">
        <v>4967</v>
      </c>
      <c r="D434" s="9" t="s">
        <v>4968</v>
      </c>
    </row>
    <row r="435" spans="1:4" x14ac:dyDescent="0.3">
      <c r="A435" s="6" t="s">
        <v>1459</v>
      </c>
      <c r="B435" s="6"/>
      <c r="C435" s="4" t="s">
        <v>4423</v>
      </c>
      <c r="D435" s="9" t="s">
        <v>4136</v>
      </c>
    </row>
    <row r="436" spans="1:4" x14ac:dyDescent="0.3">
      <c r="A436" s="6" t="s">
        <v>1459</v>
      </c>
      <c r="B436" s="6"/>
      <c r="C436" s="4" t="s">
        <v>4969</v>
      </c>
      <c r="D436" s="9" t="s">
        <v>4970</v>
      </c>
    </row>
    <row r="437" spans="1:4" x14ac:dyDescent="0.3">
      <c r="A437" s="6" t="s">
        <v>1459</v>
      </c>
      <c r="B437" s="6"/>
      <c r="C437" s="4" t="s">
        <v>4971</v>
      </c>
      <c r="D437" s="9" t="s">
        <v>4180</v>
      </c>
    </row>
    <row r="438" spans="1:4" ht="24" x14ac:dyDescent="0.3">
      <c r="A438" s="6" t="s">
        <v>1459</v>
      </c>
      <c r="B438" s="6"/>
      <c r="C438" s="4" t="s">
        <v>4972</v>
      </c>
      <c r="D438" s="9" t="s">
        <v>4973</v>
      </c>
    </row>
    <row r="439" spans="1:4" x14ac:dyDescent="0.3">
      <c r="A439" s="6" t="s">
        <v>1459</v>
      </c>
      <c r="B439" s="6"/>
      <c r="C439" s="4" t="s">
        <v>4974</v>
      </c>
      <c r="D439" s="9" t="s">
        <v>4132</v>
      </c>
    </row>
    <row r="440" spans="1:4" x14ac:dyDescent="0.3">
      <c r="A440" s="6" t="s">
        <v>1459</v>
      </c>
      <c r="B440" s="6"/>
      <c r="C440" s="4" t="s">
        <v>4975</v>
      </c>
      <c r="D440" s="9" t="s">
        <v>4976</v>
      </c>
    </row>
    <row r="441" spans="1:4" ht="24" x14ac:dyDescent="0.3">
      <c r="A441" s="6" t="s">
        <v>1459</v>
      </c>
      <c r="B441" s="6"/>
      <c r="C441" s="4" t="s">
        <v>4977</v>
      </c>
      <c r="D441" s="9" t="s">
        <v>3397</v>
      </c>
    </row>
    <row r="442" spans="1:4" x14ac:dyDescent="0.3">
      <c r="A442" s="6" t="s">
        <v>1459</v>
      </c>
      <c r="B442" s="6"/>
      <c r="C442" s="4" t="s">
        <v>4978</v>
      </c>
      <c r="D442" s="9" t="s">
        <v>4979</v>
      </c>
    </row>
    <row r="443" spans="1:4" x14ac:dyDescent="0.3">
      <c r="A443" s="6" t="s">
        <v>1459</v>
      </c>
      <c r="B443" s="6"/>
      <c r="C443" s="4" t="s">
        <v>4980</v>
      </c>
      <c r="D443" s="9" t="s">
        <v>4981</v>
      </c>
    </row>
    <row r="444" spans="1:4" ht="24" x14ac:dyDescent="0.3">
      <c r="A444" s="6" t="s">
        <v>1459</v>
      </c>
      <c r="B444" s="6"/>
      <c r="C444" s="4" t="s">
        <v>4982</v>
      </c>
      <c r="D444" s="9" t="s">
        <v>4147</v>
      </c>
    </row>
    <row r="445" spans="1:4" x14ac:dyDescent="0.3">
      <c r="A445" s="6" t="s">
        <v>1459</v>
      </c>
      <c r="B445" s="6"/>
      <c r="C445" s="4" t="s">
        <v>4983</v>
      </c>
      <c r="D445" s="9" t="s">
        <v>4143</v>
      </c>
    </row>
    <row r="446" spans="1:4" x14ac:dyDescent="0.3">
      <c r="A446" s="6" t="s">
        <v>1459</v>
      </c>
      <c r="B446" s="6"/>
      <c r="C446" s="4" t="s">
        <v>4984</v>
      </c>
      <c r="D446" s="9" t="s">
        <v>3171</v>
      </c>
    </row>
    <row r="447" spans="1:4" x14ac:dyDescent="0.3">
      <c r="A447" s="6" t="s">
        <v>1459</v>
      </c>
      <c r="B447" s="6"/>
      <c r="C447" s="4" t="s">
        <v>4985</v>
      </c>
      <c r="D447" s="9" t="s">
        <v>3441</v>
      </c>
    </row>
    <row r="448" spans="1:4" x14ac:dyDescent="0.3">
      <c r="A448" s="6" t="s">
        <v>1459</v>
      </c>
      <c r="B448" s="6"/>
      <c r="C448" s="4" t="s">
        <v>4986</v>
      </c>
      <c r="D448" s="9" t="s">
        <v>4987</v>
      </c>
    </row>
    <row r="449" spans="1:4" x14ac:dyDescent="0.3">
      <c r="A449" s="6" t="s">
        <v>1459</v>
      </c>
      <c r="B449" s="6"/>
      <c r="C449" s="4" t="s">
        <v>4988</v>
      </c>
      <c r="D449" s="9" t="s">
        <v>4989</v>
      </c>
    </row>
    <row r="450" spans="1:4" ht="24" x14ac:dyDescent="0.3">
      <c r="A450" s="6" t="s">
        <v>1459</v>
      </c>
      <c r="B450" s="6"/>
      <c r="C450" s="4" t="s">
        <v>4990</v>
      </c>
      <c r="D450" s="9" t="s">
        <v>4125</v>
      </c>
    </row>
    <row r="451" spans="1:4" x14ac:dyDescent="0.3">
      <c r="A451" s="6" t="s">
        <v>1459</v>
      </c>
      <c r="B451" s="6"/>
      <c r="C451" s="4" t="s">
        <v>4991</v>
      </c>
      <c r="D451" s="9" t="s">
        <v>3401</v>
      </c>
    </row>
    <row r="452" spans="1:4" ht="24" x14ac:dyDescent="0.3">
      <c r="A452" s="6" t="s">
        <v>1459</v>
      </c>
      <c r="B452" s="6"/>
      <c r="C452" s="4" t="s">
        <v>4992</v>
      </c>
      <c r="D452" s="9" t="s">
        <v>4165</v>
      </c>
    </row>
    <row r="453" spans="1:4" x14ac:dyDescent="0.3">
      <c r="A453" s="6" t="s">
        <v>1459</v>
      </c>
      <c r="B453" s="6"/>
      <c r="C453" s="4" t="s">
        <v>4993</v>
      </c>
      <c r="D453" s="9" t="s">
        <v>4994</v>
      </c>
    </row>
    <row r="454" spans="1:4" x14ac:dyDescent="0.3">
      <c r="A454" s="6" t="s">
        <v>1459</v>
      </c>
      <c r="B454" s="6"/>
      <c r="C454" s="4" t="s">
        <v>4995</v>
      </c>
      <c r="D454" s="9" t="s">
        <v>4996</v>
      </c>
    </row>
    <row r="455" spans="1:4" x14ac:dyDescent="0.3">
      <c r="A455" s="6" t="s">
        <v>1459</v>
      </c>
      <c r="B455" s="6"/>
      <c r="C455" s="4" t="s">
        <v>4997</v>
      </c>
      <c r="D455" s="9" t="s">
        <v>4150</v>
      </c>
    </row>
    <row r="456" spans="1:4" ht="24" x14ac:dyDescent="0.3">
      <c r="A456" s="6" t="s">
        <v>1459</v>
      </c>
      <c r="B456" s="6"/>
      <c r="C456" s="4" t="s">
        <v>4998</v>
      </c>
      <c r="D456" s="9" t="s">
        <v>3408</v>
      </c>
    </row>
    <row r="457" spans="1:4" x14ac:dyDescent="0.3">
      <c r="A457" s="6" t="s">
        <v>1459</v>
      </c>
      <c r="B457" s="6"/>
      <c r="C457" s="4" t="s">
        <v>4999</v>
      </c>
      <c r="D457" s="9" t="s">
        <v>4197</v>
      </c>
    </row>
    <row r="458" spans="1:4" ht="24" x14ac:dyDescent="0.3">
      <c r="A458" s="6" t="s">
        <v>1459</v>
      </c>
      <c r="B458" s="6"/>
      <c r="C458" s="4" t="s">
        <v>5000</v>
      </c>
      <c r="D458" s="9" t="s">
        <v>3412</v>
      </c>
    </row>
    <row r="459" spans="1:4" x14ac:dyDescent="0.3">
      <c r="A459" s="6" t="s">
        <v>1459</v>
      </c>
      <c r="B459" s="6"/>
      <c r="C459" s="4" t="s">
        <v>5001</v>
      </c>
      <c r="D459" s="9" t="s">
        <v>5002</v>
      </c>
    </row>
    <row r="460" spans="1:4" x14ac:dyDescent="0.3">
      <c r="A460" s="6" t="s">
        <v>1459</v>
      </c>
      <c r="B460" s="6"/>
      <c r="C460" s="4" t="s">
        <v>5003</v>
      </c>
      <c r="D460" s="9" t="s">
        <v>3143</v>
      </c>
    </row>
    <row r="461" spans="1:4" x14ac:dyDescent="0.3">
      <c r="A461" s="6" t="s">
        <v>1459</v>
      </c>
      <c r="B461" s="6"/>
      <c r="C461" s="4" t="s">
        <v>5004</v>
      </c>
      <c r="D461" s="9" t="s">
        <v>5005</v>
      </c>
    </row>
    <row r="462" spans="1:4" x14ac:dyDescent="0.3">
      <c r="A462" s="6" t="s">
        <v>1459</v>
      </c>
      <c r="B462" s="6"/>
      <c r="C462" s="4" t="s">
        <v>5006</v>
      </c>
      <c r="D462" s="9" t="s">
        <v>5007</v>
      </c>
    </row>
    <row r="463" spans="1:4" x14ac:dyDescent="0.3">
      <c r="A463" s="6" t="s">
        <v>1459</v>
      </c>
      <c r="B463" s="6"/>
      <c r="C463" s="4" t="s">
        <v>5008</v>
      </c>
      <c r="D463" s="9" t="s">
        <v>4201</v>
      </c>
    </row>
    <row r="464" spans="1:4" ht="24" x14ac:dyDescent="0.3">
      <c r="A464" s="6" t="s">
        <v>1459</v>
      </c>
      <c r="B464" s="6"/>
      <c r="C464" s="4" t="s">
        <v>5009</v>
      </c>
      <c r="D464" s="9" t="s">
        <v>4154</v>
      </c>
    </row>
    <row r="465" spans="1:4" x14ac:dyDescent="0.3">
      <c r="A465" s="6" t="s">
        <v>1459</v>
      </c>
      <c r="B465" s="6"/>
      <c r="C465" s="4" t="s">
        <v>5010</v>
      </c>
      <c r="D465" s="9" t="s">
        <v>4207</v>
      </c>
    </row>
    <row r="466" spans="1:4" x14ac:dyDescent="0.3">
      <c r="A466" s="6" t="s">
        <v>1459</v>
      </c>
      <c r="B466" s="6"/>
      <c r="C466" s="4" t="s">
        <v>5011</v>
      </c>
      <c r="D466" s="9" t="s">
        <v>4211</v>
      </c>
    </row>
    <row r="467" spans="1:4" x14ac:dyDescent="0.3">
      <c r="A467" s="6" t="s">
        <v>1459</v>
      </c>
      <c r="B467" s="6"/>
      <c r="C467" s="4" t="s">
        <v>5012</v>
      </c>
      <c r="D467" s="9" t="s">
        <v>5013</v>
      </c>
    </row>
    <row r="468" spans="1:4" x14ac:dyDescent="0.3">
      <c r="A468" s="6" t="s">
        <v>1459</v>
      </c>
      <c r="B468" s="6"/>
      <c r="C468" s="4" t="s">
        <v>5014</v>
      </c>
      <c r="D468" s="9" t="s">
        <v>3385</v>
      </c>
    </row>
    <row r="469" spans="1:4" x14ac:dyDescent="0.3">
      <c r="A469" s="6" t="s">
        <v>1459</v>
      </c>
      <c r="B469" s="6"/>
      <c r="C469" s="4" t="s">
        <v>5015</v>
      </c>
      <c r="D469" s="9" t="s">
        <v>5016</v>
      </c>
    </row>
    <row r="470" spans="1:4" x14ac:dyDescent="0.3">
      <c r="A470" s="6" t="s">
        <v>1459</v>
      </c>
      <c r="B470" s="6"/>
      <c r="C470" s="4" t="s">
        <v>5017</v>
      </c>
      <c r="D470" s="9" t="s">
        <v>3419</v>
      </c>
    </row>
    <row r="471" spans="1:4" x14ac:dyDescent="0.3">
      <c r="A471" s="6" t="s">
        <v>1459</v>
      </c>
      <c r="B471" s="6"/>
      <c r="C471" s="4" t="s">
        <v>5018</v>
      </c>
      <c r="D471" s="9" t="s">
        <v>5019</v>
      </c>
    </row>
    <row r="472" spans="1:4" x14ac:dyDescent="0.3">
      <c r="A472" s="6" t="s">
        <v>1459</v>
      </c>
      <c r="B472" s="6"/>
      <c r="C472" s="4" t="s">
        <v>5020</v>
      </c>
      <c r="D472" s="9" t="s">
        <v>4215</v>
      </c>
    </row>
    <row r="473" spans="1:4" x14ac:dyDescent="0.3">
      <c r="A473" s="6" t="s">
        <v>1459</v>
      </c>
      <c r="B473" s="6"/>
      <c r="C473" s="4" t="s">
        <v>5021</v>
      </c>
      <c r="D473" s="9" t="s">
        <v>5022</v>
      </c>
    </row>
    <row r="474" spans="1:4" x14ac:dyDescent="0.3">
      <c r="A474" s="6" t="s">
        <v>1459</v>
      </c>
      <c r="B474" s="6"/>
      <c r="C474" s="4" t="s">
        <v>5023</v>
      </c>
      <c r="D474" s="9" t="s">
        <v>4169</v>
      </c>
    </row>
    <row r="475" spans="1:4" x14ac:dyDescent="0.3">
      <c r="A475" s="6" t="s">
        <v>1459</v>
      </c>
      <c r="B475" s="6"/>
      <c r="C475" s="4" t="s">
        <v>5024</v>
      </c>
      <c r="D475" s="9" t="s">
        <v>5025</v>
      </c>
    </row>
    <row r="476" spans="1:4" x14ac:dyDescent="0.3">
      <c r="A476" s="6" t="s">
        <v>1459</v>
      </c>
      <c r="B476" s="6"/>
      <c r="C476" s="4" t="s">
        <v>5026</v>
      </c>
      <c r="D476" s="9" t="s">
        <v>3389</v>
      </c>
    </row>
    <row r="477" spans="1:4" x14ac:dyDescent="0.3">
      <c r="A477" s="6" t="s">
        <v>1459</v>
      </c>
      <c r="B477" s="6"/>
      <c r="C477" s="4" t="s">
        <v>5027</v>
      </c>
      <c r="D477" s="9" t="s">
        <v>5028</v>
      </c>
    </row>
    <row r="478" spans="1:4" x14ac:dyDescent="0.3">
      <c r="A478" s="6" t="s">
        <v>1459</v>
      </c>
      <c r="B478" s="6"/>
      <c r="C478" s="4" t="s">
        <v>5029</v>
      </c>
      <c r="D478" s="9" t="s">
        <v>3426</v>
      </c>
    </row>
    <row r="479" spans="1:4" x14ac:dyDescent="0.3">
      <c r="A479" s="6" t="s">
        <v>1459</v>
      </c>
      <c r="B479" s="6"/>
      <c r="C479" s="4" t="s">
        <v>5030</v>
      </c>
      <c r="D479" s="9" t="s">
        <v>5031</v>
      </c>
    </row>
    <row r="480" spans="1:4" x14ac:dyDescent="0.3">
      <c r="A480" s="6" t="s">
        <v>1459</v>
      </c>
      <c r="B480" s="6"/>
      <c r="C480" s="4" t="s">
        <v>5032</v>
      </c>
      <c r="D480" s="9" t="s">
        <v>5033</v>
      </c>
    </row>
    <row r="481" spans="1:4" x14ac:dyDescent="0.3">
      <c r="A481" s="6" t="s">
        <v>1459</v>
      </c>
      <c r="B481" s="6"/>
      <c r="C481" s="4" t="s">
        <v>5034</v>
      </c>
      <c r="D481" s="9" t="s">
        <v>3430</v>
      </c>
    </row>
    <row r="482" spans="1:4" x14ac:dyDescent="0.3">
      <c r="A482" s="6" t="s">
        <v>1459</v>
      </c>
      <c r="B482" s="6"/>
      <c r="C482" s="4" t="s">
        <v>5035</v>
      </c>
      <c r="D482" s="9" t="s">
        <v>4226</v>
      </c>
    </row>
    <row r="483" spans="1:4" x14ac:dyDescent="0.3">
      <c r="A483" s="6" t="s">
        <v>1459</v>
      </c>
      <c r="B483" s="6"/>
      <c r="C483" s="4" t="s">
        <v>5036</v>
      </c>
      <c r="D483" s="9" t="s">
        <v>5037</v>
      </c>
    </row>
    <row r="484" spans="1:4" x14ac:dyDescent="0.3">
      <c r="A484" s="6" t="s">
        <v>1459</v>
      </c>
      <c r="B484" s="6"/>
      <c r="C484" s="4" t="s">
        <v>5038</v>
      </c>
      <c r="D484" s="9" t="s">
        <v>4222</v>
      </c>
    </row>
    <row r="485" spans="1:4" x14ac:dyDescent="0.3">
      <c r="A485" s="6" t="s">
        <v>1459</v>
      </c>
      <c r="B485" s="6"/>
      <c r="C485" s="4" t="s">
        <v>5039</v>
      </c>
      <c r="D485" s="9" t="s">
        <v>3393</v>
      </c>
    </row>
    <row r="486" spans="1:4" x14ac:dyDescent="0.3">
      <c r="A486" s="6" t="s">
        <v>1459</v>
      </c>
      <c r="B486" s="6"/>
      <c r="C486" s="4" t="s">
        <v>5040</v>
      </c>
      <c r="D486" s="9" t="s">
        <v>5041</v>
      </c>
    </row>
    <row r="487" spans="1:4" x14ac:dyDescent="0.3">
      <c r="A487" s="6" t="s">
        <v>1459</v>
      </c>
      <c r="B487" s="6"/>
      <c r="C487" s="4" t="s">
        <v>5042</v>
      </c>
      <c r="D487" s="9" t="s">
        <v>3434</v>
      </c>
    </row>
    <row r="488" spans="1:4" x14ac:dyDescent="0.3">
      <c r="A488" s="6" t="s">
        <v>1459</v>
      </c>
      <c r="B488" s="6"/>
      <c r="C488" s="4" t="s">
        <v>5043</v>
      </c>
      <c r="D488" s="9" t="s">
        <v>5044</v>
      </c>
    </row>
    <row r="489" spans="1:4" x14ac:dyDescent="0.3">
      <c r="A489" s="6" t="s">
        <v>1459</v>
      </c>
      <c r="B489" s="6"/>
      <c r="C489" s="4" t="s">
        <v>5045</v>
      </c>
      <c r="D489" s="9" t="s">
        <v>4172</v>
      </c>
    </row>
    <row r="490" spans="1:4" x14ac:dyDescent="0.3">
      <c r="A490" s="6" t="s">
        <v>1459</v>
      </c>
      <c r="B490" s="6"/>
      <c r="C490" s="4" t="s">
        <v>5046</v>
      </c>
      <c r="D490" s="9" t="s">
        <v>4161</v>
      </c>
    </row>
    <row r="491" spans="1:4" ht="25.5" x14ac:dyDescent="0.3">
      <c r="A491" s="6" t="s">
        <v>5047</v>
      </c>
      <c r="B491" s="6" t="s">
        <v>4234</v>
      </c>
      <c r="C491" s="4" t="s">
        <v>5048</v>
      </c>
      <c r="D491" s="9" t="s">
        <v>5049</v>
      </c>
    </row>
    <row r="492" spans="1:4" ht="25.5" x14ac:dyDescent="0.3">
      <c r="A492" s="6" t="s">
        <v>5047</v>
      </c>
      <c r="B492" s="6" t="s">
        <v>4237</v>
      </c>
      <c r="C492" s="4" t="s">
        <v>5050</v>
      </c>
      <c r="D492" s="9" t="s">
        <v>5051</v>
      </c>
    </row>
    <row r="493" spans="1:4" ht="25.5" x14ac:dyDescent="0.3">
      <c r="A493" s="6" t="s">
        <v>5047</v>
      </c>
      <c r="B493" s="6" t="s">
        <v>4240</v>
      </c>
      <c r="C493" s="4" t="s">
        <v>5052</v>
      </c>
      <c r="D493" s="9" t="s">
        <v>5053</v>
      </c>
    </row>
    <row r="494" spans="1:4" x14ac:dyDescent="0.3">
      <c r="A494" s="6" t="s">
        <v>5047</v>
      </c>
      <c r="B494" s="6" t="s">
        <v>4242</v>
      </c>
      <c r="C494" s="4" t="s">
        <v>5054</v>
      </c>
      <c r="D494" s="9" t="s">
        <v>5055</v>
      </c>
    </row>
    <row r="495" spans="1:4" x14ac:dyDescent="0.3">
      <c r="A495" s="6" t="s">
        <v>5047</v>
      </c>
      <c r="B495" s="6" t="s">
        <v>4245</v>
      </c>
      <c r="C495" s="4" t="s">
        <v>5056</v>
      </c>
      <c r="D495" s="9" t="s">
        <v>5057</v>
      </c>
    </row>
    <row r="496" spans="1:4" x14ac:dyDescent="0.3">
      <c r="A496" s="6" t="s">
        <v>5047</v>
      </c>
      <c r="B496" s="6" t="s">
        <v>4248</v>
      </c>
      <c r="C496" s="4" t="s">
        <v>5058</v>
      </c>
      <c r="D496" s="9" t="s">
        <v>5059</v>
      </c>
    </row>
    <row r="497" spans="1:4" x14ac:dyDescent="0.3">
      <c r="A497" s="6" t="s">
        <v>5047</v>
      </c>
      <c r="B497" s="6" t="s">
        <v>4251</v>
      </c>
      <c r="C497" s="4" t="s">
        <v>5060</v>
      </c>
      <c r="D497" s="9" t="s">
        <v>5061</v>
      </c>
    </row>
    <row r="498" spans="1:4" x14ac:dyDescent="0.3">
      <c r="A498" s="6" t="s">
        <v>5047</v>
      </c>
      <c r="B498" s="6" t="s">
        <v>4254</v>
      </c>
      <c r="C498" s="4" t="s">
        <v>5062</v>
      </c>
      <c r="D498" s="9" t="s">
        <v>5063</v>
      </c>
    </row>
    <row r="499" spans="1:4" ht="36" x14ac:dyDescent="0.3">
      <c r="A499" s="6" t="s">
        <v>5047</v>
      </c>
      <c r="B499" s="6" t="s">
        <v>4257</v>
      </c>
      <c r="C499" s="4" t="s">
        <v>5064</v>
      </c>
      <c r="D499" s="9" t="s">
        <v>5065</v>
      </c>
    </row>
    <row r="500" spans="1:4" x14ac:dyDescent="0.3">
      <c r="A500" s="6" t="s">
        <v>5047</v>
      </c>
      <c r="B500" s="6" t="s">
        <v>4260</v>
      </c>
      <c r="C500" s="4" t="s">
        <v>5066</v>
      </c>
      <c r="D500" s="9" t="s">
        <v>5067</v>
      </c>
    </row>
    <row r="501" spans="1:4" x14ac:dyDescent="0.3">
      <c r="A501" s="6" t="s">
        <v>5047</v>
      </c>
      <c r="B501" s="6" t="s">
        <v>4263</v>
      </c>
      <c r="C501" s="4" t="s">
        <v>5068</v>
      </c>
      <c r="D501" s="9" t="s">
        <v>5069</v>
      </c>
    </row>
    <row r="502" spans="1:4" x14ac:dyDescent="0.3">
      <c r="A502" s="6" t="s">
        <v>5047</v>
      </c>
      <c r="B502" s="6" t="s">
        <v>4266</v>
      </c>
      <c r="C502" s="4" t="s">
        <v>5070</v>
      </c>
      <c r="D502" s="4" t="s">
        <v>5071</v>
      </c>
    </row>
    <row r="503" spans="1:4" ht="36" x14ac:dyDescent="0.3">
      <c r="A503" s="6" t="s">
        <v>5047</v>
      </c>
      <c r="B503" s="6" t="s">
        <v>4269</v>
      </c>
      <c r="C503" s="4" t="s">
        <v>5072</v>
      </c>
      <c r="D503" s="9" t="s">
        <v>5073</v>
      </c>
    </row>
    <row r="504" spans="1:4" x14ac:dyDescent="0.3">
      <c r="A504" s="6" t="s">
        <v>5047</v>
      </c>
      <c r="B504" s="6" t="s">
        <v>4272</v>
      </c>
      <c r="C504" s="4" t="s">
        <v>5074</v>
      </c>
      <c r="D504" s="9" t="s">
        <v>5075</v>
      </c>
    </row>
    <row r="505" spans="1:4" ht="25.5" x14ac:dyDescent="0.3">
      <c r="A505" s="6" t="s">
        <v>5047</v>
      </c>
      <c r="B505" s="6" t="s">
        <v>4275</v>
      </c>
      <c r="C505" s="4" t="s">
        <v>5076</v>
      </c>
      <c r="D505" s="9" t="s">
        <v>5077</v>
      </c>
    </row>
    <row r="506" spans="1:4" x14ac:dyDescent="0.3">
      <c r="A506" s="6" t="s">
        <v>5047</v>
      </c>
      <c r="B506" s="6" t="s">
        <v>4278</v>
      </c>
      <c r="C506" s="4" t="s">
        <v>5078</v>
      </c>
      <c r="D506" s="9" t="s">
        <v>5079</v>
      </c>
    </row>
    <row r="507" spans="1:4" ht="25.5" x14ac:dyDescent="0.3">
      <c r="A507" s="6" t="s">
        <v>5047</v>
      </c>
      <c r="B507" s="6" t="s">
        <v>4281</v>
      </c>
      <c r="C507" s="4" t="s">
        <v>5080</v>
      </c>
      <c r="D507" s="9" t="s">
        <v>5081</v>
      </c>
    </row>
    <row r="508" spans="1:4" ht="25.5" x14ac:dyDescent="0.3">
      <c r="A508" s="6" t="s">
        <v>5047</v>
      </c>
      <c r="B508" s="6" t="s">
        <v>4284</v>
      </c>
      <c r="C508" s="4" t="s">
        <v>5082</v>
      </c>
      <c r="D508" s="9" t="s">
        <v>5083</v>
      </c>
    </row>
    <row r="509" spans="1:4" x14ac:dyDescent="0.3">
      <c r="A509" s="6" t="s">
        <v>5047</v>
      </c>
      <c r="B509" s="6" t="s">
        <v>4287</v>
      </c>
      <c r="C509" s="4" t="s">
        <v>5084</v>
      </c>
      <c r="D509" s="9" t="s">
        <v>5085</v>
      </c>
    </row>
    <row r="510" spans="1:4" x14ac:dyDescent="0.3">
      <c r="A510" s="6" t="s">
        <v>5047</v>
      </c>
      <c r="B510" s="6" t="s">
        <v>4290</v>
      </c>
      <c r="C510" s="4" t="s">
        <v>5086</v>
      </c>
      <c r="D510" s="9" t="s">
        <v>5087</v>
      </c>
    </row>
    <row r="511" spans="1:4" x14ac:dyDescent="0.3">
      <c r="A511" s="6" t="s">
        <v>5047</v>
      </c>
      <c r="B511" s="6" t="s">
        <v>4293</v>
      </c>
      <c r="C511" s="4" t="s">
        <v>5088</v>
      </c>
      <c r="D511" s="9" t="s">
        <v>5089</v>
      </c>
    </row>
    <row r="512" spans="1:4" x14ac:dyDescent="0.3">
      <c r="A512" s="6" t="s">
        <v>5090</v>
      </c>
      <c r="B512" s="6" t="s">
        <v>4234</v>
      </c>
      <c r="C512" s="4" t="s">
        <v>5091</v>
      </c>
      <c r="D512" s="9" t="s">
        <v>3767</v>
      </c>
    </row>
    <row r="513" spans="1:4" ht="25.5" x14ac:dyDescent="0.3">
      <c r="A513" s="6" t="s">
        <v>5090</v>
      </c>
      <c r="B513" s="6" t="s">
        <v>4237</v>
      </c>
      <c r="C513" s="4" t="s">
        <v>5092</v>
      </c>
      <c r="D513" s="9" t="s">
        <v>5093</v>
      </c>
    </row>
    <row r="514" spans="1:4" ht="25.5" x14ac:dyDescent="0.3">
      <c r="A514" s="6" t="s">
        <v>5090</v>
      </c>
      <c r="B514" s="6" t="s">
        <v>4240</v>
      </c>
      <c r="C514" s="4" t="s">
        <v>5094</v>
      </c>
      <c r="D514" s="9" t="s">
        <v>5095</v>
      </c>
    </row>
    <row r="515" spans="1:4" x14ac:dyDescent="0.3">
      <c r="A515" s="6" t="s">
        <v>5090</v>
      </c>
      <c r="B515" s="6" t="s">
        <v>4242</v>
      </c>
      <c r="C515" s="4" t="s">
        <v>5096</v>
      </c>
      <c r="D515" s="9" t="s">
        <v>5097</v>
      </c>
    </row>
    <row r="516" spans="1:4" x14ac:dyDescent="0.3">
      <c r="A516" s="6" t="s">
        <v>5090</v>
      </c>
      <c r="B516" s="6" t="s">
        <v>4245</v>
      </c>
      <c r="C516" s="4" t="s">
        <v>5098</v>
      </c>
      <c r="D516" s="9" t="s">
        <v>5099</v>
      </c>
    </row>
    <row r="517" spans="1:4" x14ac:dyDescent="0.3">
      <c r="A517" s="6" t="s">
        <v>5090</v>
      </c>
      <c r="B517" s="6" t="s">
        <v>4248</v>
      </c>
      <c r="C517" s="4" t="s">
        <v>5100</v>
      </c>
      <c r="D517" s="9" t="s">
        <v>5101</v>
      </c>
    </row>
    <row r="518" spans="1:4" ht="24" x14ac:dyDescent="0.3">
      <c r="A518" s="6" t="s">
        <v>5090</v>
      </c>
      <c r="B518" s="6" t="s">
        <v>4251</v>
      </c>
      <c r="C518" s="4" t="s">
        <v>5102</v>
      </c>
      <c r="D518" s="9" t="s">
        <v>5103</v>
      </c>
    </row>
    <row r="519" spans="1:4" x14ac:dyDescent="0.3">
      <c r="A519" s="6" t="s">
        <v>5090</v>
      </c>
      <c r="B519" s="6" t="s">
        <v>4254</v>
      </c>
      <c r="C519" s="4" t="s">
        <v>5104</v>
      </c>
      <c r="D519" s="9" t="s">
        <v>5105</v>
      </c>
    </row>
    <row r="520" spans="1:4" ht="24" x14ac:dyDescent="0.3">
      <c r="A520" s="6" t="s">
        <v>5090</v>
      </c>
      <c r="B520" s="6" t="s">
        <v>4257</v>
      </c>
      <c r="C520" s="4" t="s">
        <v>5106</v>
      </c>
      <c r="D520" s="9" t="s">
        <v>5107</v>
      </c>
    </row>
    <row r="521" spans="1:4" x14ac:dyDescent="0.3">
      <c r="A521" s="6" t="s">
        <v>5090</v>
      </c>
      <c r="B521" s="6" t="s">
        <v>4260</v>
      </c>
      <c r="C521" s="4" t="s">
        <v>5108</v>
      </c>
      <c r="D521" s="9" t="s">
        <v>5109</v>
      </c>
    </row>
    <row r="522" spans="1:4" ht="25.5" x14ac:dyDescent="0.3">
      <c r="A522" s="6" t="s">
        <v>5090</v>
      </c>
      <c r="B522" s="6" t="s">
        <v>4263</v>
      </c>
      <c r="C522" s="4" t="s">
        <v>5110</v>
      </c>
      <c r="D522" s="9" t="s">
        <v>5111</v>
      </c>
    </row>
    <row r="523" spans="1:4" ht="24" x14ac:dyDescent="0.3">
      <c r="A523" s="6" t="s">
        <v>5090</v>
      </c>
      <c r="B523" s="6" t="s">
        <v>4266</v>
      </c>
      <c r="C523" s="4" t="s">
        <v>5112</v>
      </c>
      <c r="D523" s="9" t="s">
        <v>5113</v>
      </c>
    </row>
    <row r="524" spans="1:4" ht="25.5" x14ac:dyDescent="0.3">
      <c r="A524" s="6" t="s">
        <v>5090</v>
      </c>
      <c r="B524" s="6" t="s">
        <v>4269</v>
      </c>
      <c r="C524" s="4" t="s">
        <v>5114</v>
      </c>
      <c r="D524" s="9" t="s">
        <v>5115</v>
      </c>
    </row>
    <row r="525" spans="1:4" ht="25.5" x14ac:dyDescent="0.3">
      <c r="A525" s="6" t="s">
        <v>5090</v>
      </c>
      <c r="B525" s="6" t="s">
        <v>4272</v>
      </c>
      <c r="C525" s="4" t="s">
        <v>5116</v>
      </c>
      <c r="D525" s="9" t="s">
        <v>5117</v>
      </c>
    </row>
    <row r="526" spans="1:4" ht="25.5" x14ac:dyDescent="0.3">
      <c r="A526" s="6" t="s">
        <v>5090</v>
      </c>
      <c r="B526" s="6" t="s">
        <v>4275</v>
      </c>
      <c r="C526" s="4" t="s">
        <v>5118</v>
      </c>
      <c r="D526" s="9" t="s">
        <v>5119</v>
      </c>
    </row>
    <row r="527" spans="1:4" ht="24" x14ac:dyDescent="0.3">
      <c r="A527" s="6" t="s">
        <v>5090</v>
      </c>
      <c r="B527" s="6" t="s">
        <v>4278</v>
      </c>
      <c r="C527" s="4" t="s">
        <v>5120</v>
      </c>
      <c r="D527" s="9" t="s">
        <v>5121</v>
      </c>
    </row>
    <row r="528" spans="1:4" ht="24" x14ac:dyDescent="0.3">
      <c r="A528" s="6" t="s">
        <v>5090</v>
      </c>
      <c r="B528" s="6" t="s">
        <v>4281</v>
      </c>
      <c r="C528" s="4" t="s">
        <v>5122</v>
      </c>
      <c r="D528" s="9" t="s">
        <v>5123</v>
      </c>
    </row>
    <row r="529" spans="1:4" x14ac:dyDescent="0.3">
      <c r="A529" s="6" t="s">
        <v>5090</v>
      </c>
      <c r="B529" s="6" t="s">
        <v>4284</v>
      </c>
      <c r="C529" s="4" t="s">
        <v>5124</v>
      </c>
      <c r="D529" s="9" t="s">
        <v>5125</v>
      </c>
    </row>
    <row r="530" spans="1:4" x14ac:dyDescent="0.3">
      <c r="A530" s="6" t="s">
        <v>5090</v>
      </c>
      <c r="B530" s="6" t="s">
        <v>4287</v>
      </c>
      <c r="C530" s="4" t="s">
        <v>5126</v>
      </c>
      <c r="D530" s="9" t="s">
        <v>5127</v>
      </c>
    </row>
    <row r="531" spans="1:4" x14ac:dyDescent="0.3">
      <c r="A531" s="6" t="s">
        <v>5090</v>
      </c>
      <c r="B531" s="6" t="s">
        <v>4290</v>
      </c>
      <c r="C531" s="4" t="s">
        <v>5128</v>
      </c>
      <c r="D531" s="9" t="s">
        <v>5129</v>
      </c>
    </row>
    <row r="532" spans="1:4" x14ac:dyDescent="0.3">
      <c r="A532" s="6" t="s">
        <v>5090</v>
      </c>
      <c r="B532" s="6" t="s">
        <v>4293</v>
      </c>
      <c r="C532" s="4" t="s">
        <v>5130</v>
      </c>
      <c r="D532" s="9" t="s">
        <v>5131</v>
      </c>
    </row>
    <row r="533" spans="1:4" ht="25.5" x14ac:dyDescent="0.3">
      <c r="A533" s="6" t="s">
        <v>5090</v>
      </c>
      <c r="B533" s="6" t="s">
        <v>4296</v>
      </c>
      <c r="C533" s="4" t="s">
        <v>5132</v>
      </c>
      <c r="D533" s="9" t="s">
        <v>5133</v>
      </c>
    </row>
    <row r="534" spans="1:4" x14ac:dyDescent="0.3">
      <c r="A534" s="6" t="s">
        <v>5090</v>
      </c>
      <c r="B534" s="6" t="s">
        <v>4299</v>
      </c>
      <c r="C534" s="4" t="s">
        <v>5134</v>
      </c>
      <c r="D534" s="9" t="s">
        <v>5135</v>
      </c>
    </row>
    <row r="535" spans="1:4" x14ac:dyDescent="0.3">
      <c r="A535" s="6" t="s">
        <v>5090</v>
      </c>
      <c r="B535" s="6" t="s">
        <v>4302</v>
      </c>
      <c r="C535" s="4" t="s">
        <v>5136</v>
      </c>
      <c r="D535" s="9" t="s">
        <v>5137</v>
      </c>
    </row>
    <row r="536" spans="1:4" x14ac:dyDescent="0.3">
      <c r="A536" s="6" t="s">
        <v>5138</v>
      </c>
      <c r="B536" s="6" t="s">
        <v>4234</v>
      </c>
      <c r="C536" s="4" t="s">
        <v>5139</v>
      </c>
      <c r="D536" s="9" t="s">
        <v>5140</v>
      </c>
    </row>
    <row r="537" spans="1:4" x14ac:dyDescent="0.3">
      <c r="A537" s="6" t="s">
        <v>5138</v>
      </c>
      <c r="B537" s="6" t="s">
        <v>4237</v>
      </c>
      <c r="C537" s="4" t="s">
        <v>5141</v>
      </c>
      <c r="D537" s="9" t="s">
        <v>5142</v>
      </c>
    </row>
    <row r="538" spans="1:4" x14ac:dyDescent="0.3">
      <c r="A538" s="6" t="s">
        <v>5138</v>
      </c>
      <c r="B538" s="6" t="s">
        <v>4240</v>
      </c>
      <c r="C538" s="4" t="s">
        <v>5143</v>
      </c>
      <c r="D538" s="9" t="s">
        <v>5144</v>
      </c>
    </row>
    <row r="539" spans="1:4" x14ac:dyDescent="0.3">
      <c r="A539" s="6" t="s">
        <v>5138</v>
      </c>
      <c r="B539" s="6" t="s">
        <v>4242</v>
      </c>
      <c r="C539" s="4" t="s">
        <v>5145</v>
      </c>
      <c r="D539" s="9" t="s">
        <v>5131</v>
      </c>
    </row>
    <row r="540" spans="1:4" x14ac:dyDescent="0.3">
      <c r="A540" s="6" t="s">
        <v>5138</v>
      </c>
      <c r="B540" s="6" t="s">
        <v>4245</v>
      </c>
      <c r="C540" s="4" t="s">
        <v>5146</v>
      </c>
      <c r="D540" s="9" t="s">
        <v>5147</v>
      </c>
    </row>
    <row r="541" spans="1:4" x14ac:dyDescent="0.3">
      <c r="A541" s="6" t="s">
        <v>5138</v>
      </c>
      <c r="B541" s="6" t="s">
        <v>4248</v>
      </c>
      <c r="C541" s="4" t="s">
        <v>5148</v>
      </c>
      <c r="D541" s="9" t="s">
        <v>5149</v>
      </c>
    </row>
    <row r="542" spans="1:4" ht="36" x14ac:dyDescent="0.3">
      <c r="A542" s="6" t="s">
        <v>5138</v>
      </c>
      <c r="B542" s="6" t="s">
        <v>4251</v>
      </c>
      <c r="C542" s="4" t="s">
        <v>5150</v>
      </c>
      <c r="D542" s="9" t="s">
        <v>5151</v>
      </c>
    </row>
    <row r="543" spans="1:4" x14ac:dyDescent="0.3">
      <c r="A543" s="6" t="s">
        <v>5138</v>
      </c>
      <c r="B543" s="6" t="s">
        <v>4254</v>
      </c>
      <c r="C543" s="4" t="s">
        <v>4549</v>
      </c>
      <c r="D543" s="9" t="s">
        <v>3783</v>
      </c>
    </row>
    <row r="544" spans="1:4" ht="24" x14ac:dyDescent="0.3">
      <c r="A544" s="6" t="s">
        <v>5138</v>
      </c>
      <c r="B544" s="6" t="s">
        <v>4257</v>
      </c>
      <c r="C544" s="4" t="s">
        <v>5152</v>
      </c>
      <c r="D544" s="9" t="s">
        <v>5153</v>
      </c>
    </row>
    <row r="545" spans="1:4" ht="24" x14ac:dyDescent="0.3">
      <c r="A545" s="6" t="s">
        <v>5138</v>
      </c>
      <c r="B545" s="6" t="s">
        <v>4260</v>
      </c>
      <c r="C545" s="4" t="s">
        <v>5154</v>
      </c>
      <c r="D545" s="9" t="s">
        <v>5155</v>
      </c>
    </row>
    <row r="546" spans="1:4" ht="25.5" x14ac:dyDescent="0.3">
      <c r="A546" s="6" t="s">
        <v>5138</v>
      </c>
      <c r="B546" s="6" t="s">
        <v>4263</v>
      </c>
      <c r="C546" s="4" t="s">
        <v>5156</v>
      </c>
      <c r="D546" s="9" t="s">
        <v>5157</v>
      </c>
    </row>
    <row r="547" spans="1:4" x14ac:dyDescent="0.3">
      <c r="A547" s="6" t="s">
        <v>5138</v>
      </c>
      <c r="B547" s="6" t="s">
        <v>4266</v>
      </c>
      <c r="C547" s="4" t="s">
        <v>5158</v>
      </c>
      <c r="D547" s="9" t="s">
        <v>3779</v>
      </c>
    </row>
    <row r="548" spans="1:4" ht="25.5" x14ac:dyDescent="0.3">
      <c r="A548" s="6" t="s">
        <v>5138</v>
      </c>
      <c r="B548" s="6" t="s">
        <v>4269</v>
      </c>
      <c r="C548" s="4" t="s">
        <v>5159</v>
      </c>
      <c r="D548" s="9" t="s">
        <v>5160</v>
      </c>
    </row>
    <row r="549" spans="1:4" x14ac:dyDescent="0.3">
      <c r="A549" s="6" t="s">
        <v>5138</v>
      </c>
      <c r="B549" s="6" t="s">
        <v>4272</v>
      </c>
      <c r="C549" s="4" t="s">
        <v>5161</v>
      </c>
      <c r="D549" s="9" t="s">
        <v>5162</v>
      </c>
    </row>
    <row r="550" spans="1:4" ht="25.5" x14ac:dyDescent="0.3">
      <c r="A550" s="6" t="s">
        <v>5138</v>
      </c>
      <c r="B550" s="6" t="s">
        <v>4275</v>
      </c>
      <c r="C550" s="4" t="s">
        <v>5163</v>
      </c>
      <c r="D550" s="9" t="s">
        <v>5164</v>
      </c>
    </row>
    <row r="551" spans="1:4" ht="25.5" x14ac:dyDescent="0.3">
      <c r="A551" s="6" t="s">
        <v>5138</v>
      </c>
      <c r="B551" s="6" t="s">
        <v>4278</v>
      </c>
      <c r="C551" s="4" t="s">
        <v>5165</v>
      </c>
      <c r="D551" s="9" t="s">
        <v>5166</v>
      </c>
    </row>
    <row r="552" spans="1:4" x14ac:dyDescent="0.3">
      <c r="A552" s="6" t="s">
        <v>5138</v>
      </c>
      <c r="B552" s="6" t="s">
        <v>4281</v>
      </c>
      <c r="C552" s="4" t="s">
        <v>5167</v>
      </c>
      <c r="D552" s="9" t="s">
        <v>5168</v>
      </c>
    </row>
    <row r="553" spans="1:4" ht="24" x14ac:dyDescent="0.3">
      <c r="A553" s="6" t="s">
        <v>5138</v>
      </c>
      <c r="B553" s="6" t="s">
        <v>4284</v>
      </c>
      <c r="C553" s="4" t="s">
        <v>5169</v>
      </c>
      <c r="D553" s="9" t="s">
        <v>5170</v>
      </c>
    </row>
    <row r="554" spans="1:4" x14ac:dyDescent="0.3">
      <c r="A554" s="6" t="s">
        <v>5138</v>
      </c>
      <c r="B554" s="6" t="s">
        <v>4287</v>
      </c>
      <c r="C554" s="4" t="s">
        <v>5171</v>
      </c>
      <c r="D554" s="9" t="s">
        <v>5172</v>
      </c>
    </row>
    <row r="555" spans="1:4" x14ac:dyDescent="0.3">
      <c r="A555" s="6" t="s">
        <v>5138</v>
      </c>
      <c r="B555" s="6" t="s">
        <v>4290</v>
      </c>
      <c r="C555" s="4" t="s">
        <v>5173</v>
      </c>
      <c r="D555" s="9" t="s">
        <v>5174</v>
      </c>
    </row>
    <row r="556" spans="1:4" ht="25.5" x14ac:dyDescent="0.3">
      <c r="A556" s="6" t="s">
        <v>5138</v>
      </c>
      <c r="B556" s="6" t="s">
        <v>4293</v>
      </c>
      <c r="C556" s="4" t="s">
        <v>5175</v>
      </c>
      <c r="D556" s="9" t="s">
        <v>5176</v>
      </c>
    </row>
    <row r="557" spans="1:4" x14ac:dyDescent="0.3">
      <c r="A557" s="6" t="s">
        <v>5138</v>
      </c>
      <c r="B557" s="6" t="s">
        <v>4296</v>
      </c>
      <c r="C557" s="4" t="s">
        <v>5177</v>
      </c>
      <c r="D557" s="9" t="s">
        <v>5178</v>
      </c>
    </row>
    <row r="558" spans="1:4" x14ac:dyDescent="0.3">
      <c r="A558" s="6" t="s">
        <v>5179</v>
      </c>
      <c r="B558" s="6" t="s">
        <v>4234</v>
      </c>
      <c r="C558" s="4" t="s">
        <v>5180</v>
      </c>
      <c r="D558" s="9" t="s">
        <v>5181</v>
      </c>
    </row>
    <row r="559" spans="1:4" x14ac:dyDescent="0.3">
      <c r="A559" s="6" t="s">
        <v>5179</v>
      </c>
      <c r="B559" s="6" t="s">
        <v>4237</v>
      </c>
      <c r="C559" s="4" t="s">
        <v>5182</v>
      </c>
      <c r="D559" s="9" t="s">
        <v>5183</v>
      </c>
    </row>
    <row r="560" spans="1:4" x14ac:dyDescent="0.3">
      <c r="A560" s="6" t="s">
        <v>5179</v>
      </c>
      <c r="B560" s="6" t="s">
        <v>4240</v>
      </c>
      <c r="C560" s="4" t="s">
        <v>5184</v>
      </c>
      <c r="D560" s="9" t="s">
        <v>5185</v>
      </c>
    </row>
    <row r="561" spans="1:4" ht="24" x14ac:dyDescent="0.3">
      <c r="A561" s="6" t="s">
        <v>5179</v>
      </c>
      <c r="B561" s="6" t="s">
        <v>4242</v>
      </c>
      <c r="C561" s="4" t="s">
        <v>5186</v>
      </c>
      <c r="D561" s="9" t="s">
        <v>5187</v>
      </c>
    </row>
    <row r="562" spans="1:4" x14ac:dyDescent="0.3">
      <c r="A562" s="6" t="s">
        <v>5179</v>
      </c>
      <c r="B562" s="6" t="s">
        <v>4245</v>
      </c>
      <c r="C562" s="4" t="s">
        <v>5188</v>
      </c>
      <c r="D562" s="9" t="s">
        <v>5189</v>
      </c>
    </row>
    <row r="563" spans="1:4" x14ac:dyDescent="0.3">
      <c r="A563" s="6" t="s">
        <v>5179</v>
      </c>
      <c r="B563" s="6" t="s">
        <v>4248</v>
      </c>
      <c r="C563" s="4" t="s">
        <v>5190</v>
      </c>
      <c r="D563" s="9" t="s">
        <v>5191</v>
      </c>
    </row>
    <row r="564" spans="1:4" ht="25.5" x14ac:dyDescent="0.3">
      <c r="A564" s="6" t="s">
        <v>5179</v>
      </c>
      <c r="B564" s="6" t="s">
        <v>4251</v>
      </c>
      <c r="C564" s="4" t="s">
        <v>5192</v>
      </c>
      <c r="D564" s="9" t="s">
        <v>5193</v>
      </c>
    </row>
    <row r="565" spans="1:4" x14ac:dyDescent="0.3">
      <c r="A565" s="6" t="s">
        <v>5179</v>
      </c>
      <c r="B565" s="6" t="s">
        <v>4254</v>
      </c>
      <c r="C565" s="4" t="s">
        <v>5194</v>
      </c>
      <c r="D565" s="9" t="s">
        <v>5195</v>
      </c>
    </row>
    <row r="566" spans="1:4" x14ac:dyDescent="0.3">
      <c r="A566" s="6" t="s">
        <v>5179</v>
      </c>
      <c r="B566" s="6" t="s">
        <v>4257</v>
      </c>
      <c r="C566" s="4" t="s">
        <v>5196</v>
      </c>
      <c r="D566" s="9" t="s">
        <v>3843</v>
      </c>
    </row>
    <row r="567" spans="1:4" ht="36" x14ac:dyDescent="0.3">
      <c r="A567" s="6" t="s">
        <v>5179</v>
      </c>
      <c r="B567" s="6" t="s">
        <v>4260</v>
      </c>
      <c r="C567" s="4" t="s">
        <v>5197</v>
      </c>
      <c r="D567" s="9" t="s">
        <v>5198</v>
      </c>
    </row>
    <row r="568" spans="1:4" ht="24" x14ac:dyDescent="0.3">
      <c r="A568" s="6" t="s">
        <v>5179</v>
      </c>
      <c r="B568" s="6" t="s">
        <v>4263</v>
      </c>
      <c r="C568" s="4" t="s">
        <v>5199</v>
      </c>
      <c r="D568" s="9" t="s">
        <v>5200</v>
      </c>
    </row>
    <row r="569" spans="1:4" x14ac:dyDescent="0.3">
      <c r="A569" s="6" t="s">
        <v>5179</v>
      </c>
      <c r="B569" s="6" t="s">
        <v>4266</v>
      </c>
      <c r="C569" s="4" t="s">
        <v>5201</v>
      </c>
      <c r="D569" s="9" t="s">
        <v>5202</v>
      </c>
    </row>
    <row r="570" spans="1:4" x14ac:dyDescent="0.3">
      <c r="A570" s="6" t="s">
        <v>5179</v>
      </c>
      <c r="B570" s="6" t="s">
        <v>4269</v>
      </c>
      <c r="C570" s="4" t="s">
        <v>5203</v>
      </c>
      <c r="D570" s="9" t="s">
        <v>5204</v>
      </c>
    </row>
    <row r="571" spans="1:4" x14ac:dyDescent="0.3">
      <c r="A571" s="6" t="s">
        <v>5179</v>
      </c>
      <c r="B571" s="6" t="s">
        <v>4272</v>
      </c>
      <c r="C571" s="4" t="s">
        <v>5205</v>
      </c>
      <c r="D571" s="9" t="s">
        <v>5206</v>
      </c>
    </row>
    <row r="572" spans="1:4" x14ac:dyDescent="0.3">
      <c r="A572" s="6" t="s">
        <v>5179</v>
      </c>
      <c r="B572" s="6" t="s">
        <v>4275</v>
      </c>
      <c r="C572" s="4" t="s">
        <v>5207</v>
      </c>
      <c r="D572" s="9" t="s">
        <v>3870</v>
      </c>
    </row>
    <row r="573" spans="1:4" x14ac:dyDescent="0.3">
      <c r="A573" s="6" t="s">
        <v>5179</v>
      </c>
      <c r="B573" s="6" t="s">
        <v>4278</v>
      </c>
      <c r="C573" s="4" t="s">
        <v>5208</v>
      </c>
      <c r="D573" s="9" t="s">
        <v>5209</v>
      </c>
    </row>
    <row r="574" spans="1:4" ht="25.5" x14ac:dyDescent="0.3">
      <c r="A574" s="6" t="s">
        <v>5179</v>
      </c>
      <c r="B574" s="6" t="s">
        <v>4281</v>
      </c>
      <c r="C574" s="4" t="s">
        <v>5210</v>
      </c>
      <c r="D574" s="9" t="s">
        <v>5211</v>
      </c>
    </row>
    <row r="575" spans="1:4" ht="25.5" x14ac:dyDescent="0.3">
      <c r="A575" s="6" t="s">
        <v>5179</v>
      </c>
      <c r="B575" s="6" t="s">
        <v>4284</v>
      </c>
      <c r="C575" s="4" t="s">
        <v>5212</v>
      </c>
      <c r="D575" s="9" t="s">
        <v>5213</v>
      </c>
    </row>
    <row r="576" spans="1:4" x14ac:dyDescent="0.3">
      <c r="A576" s="6" t="s">
        <v>5179</v>
      </c>
      <c r="B576" s="6" t="s">
        <v>4287</v>
      </c>
      <c r="C576" s="4" t="s">
        <v>5214</v>
      </c>
      <c r="D576" s="9" t="s">
        <v>5215</v>
      </c>
    </row>
    <row r="577" spans="1:4" ht="25.5" x14ac:dyDescent="0.3">
      <c r="A577" s="6" t="s">
        <v>5179</v>
      </c>
      <c r="B577" s="6" t="s">
        <v>4290</v>
      </c>
      <c r="C577" s="4" t="s">
        <v>5216</v>
      </c>
      <c r="D577" s="9" t="s">
        <v>5217</v>
      </c>
    </row>
    <row r="578" spans="1:4" x14ac:dyDescent="0.3">
      <c r="A578" s="6" t="s">
        <v>5218</v>
      </c>
      <c r="B578" s="6" t="s">
        <v>4234</v>
      </c>
      <c r="C578" s="4" t="s">
        <v>5219</v>
      </c>
      <c r="D578" s="9" t="s">
        <v>5220</v>
      </c>
    </row>
    <row r="579" spans="1:4" x14ac:dyDescent="0.3">
      <c r="A579" s="6" t="s">
        <v>5218</v>
      </c>
      <c r="B579" s="6" t="s">
        <v>4237</v>
      </c>
      <c r="C579" s="4" t="s">
        <v>5221</v>
      </c>
      <c r="D579" s="9" t="s">
        <v>5222</v>
      </c>
    </row>
    <row r="580" spans="1:4" x14ac:dyDescent="0.3">
      <c r="A580" s="6" t="s">
        <v>5218</v>
      </c>
      <c r="B580" s="6" t="s">
        <v>4240</v>
      </c>
      <c r="C580" s="4" t="s">
        <v>5223</v>
      </c>
      <c r="D580" s="9" t="s">
        <v>5224</v>
      </c>
    </row>
    <row r="581" spans="1:4" x14ac:dyDescent="0.3">
      <c r="A581" s="6" t="s">
        <v>5218</v>
      </c>
      <c r="B581" s="6" t="s">
        <v>4242</v>
      </c>
      <c r="C581" s="4" t="s">
        <v>5225</v>
      </c>
      <c r="D581" s="9" t="s">
        <v>5226</v>
      </c>
    </row>
    <row r="582" spans="1:4" x14ac:dyDescent="0.3">
      <c r="A582" s="6" t="s">
        <v>5218</v>
      </c>
      <c r="B582" s="6" t="s">
        <v>4245</v>
      </c>
      <c r="C582" s="4" t="s">
        <v>5227</v>
      </c>
      <c r="D582" s="9" t="s">
        <v>5228</v>
      </c>
    </row>
    <row r="583" spans="1:4" x14ac:dyDescent="0.3">
      <c r="A583" s="6" t="s">
        <v>5218</v>
      </c>
      <c r="B583" s="6" t="s">
        <v>4248</v>
      </c>
      <c r="C583" s="4" t="s">
        <v>5229</v>
      </c>
      <c r="D583" s="9" t="s">
        <v>5230</v>
      </c>
    </row>
    <row r="584" spans="1:4" x14ac:dyDescent="0.3">
      <c r="A584" s="6" t="s">
        <v>5218</v>
      </c>
      <c r="B584" s="6" t="s">
        <v>4251</v>
      </c>
      <c r="C584" s="4" t="s">
        <v>5231</v>
      </c>
      <c r="D584" s="9" t="s">
        <v>5232</v>
      </c>
    </row>
    <row r="585" spans="1:4" x14ac:dyDescent="0.3">
      <c r="A585" s="6" t="s">
        <v>5218</v>
      </c>
      <c r="B585" s="6" t="s">
        <v>4254</v>
      </c>
      <c r="C585" s="4" t="s">
        <v>5233</v>
      </c>
      <c r="D585" s="9" t="s">
        <v>5234</v>
      </c>
    </row>
    <row r="586" spans="1:4" x14ac:dyDescent="0.3">
      <c r="A586" s="6" t="s">
        <v>5218</v>
      </c>
      <c r="B586" s="6" t="s">
        <v>4257</v>
      </c>
      <c r="C586" s="4" t="s">
        <v>5235</v>
      </c>
      <c r="D586" s="9" t="s">
        <v>5236</v>
      </c>
    </row>
    <row r="587" spans="1:4" x14ac:dyDescent="0.3">
      <c r="A587" s="6" t="s">
        <v>5218</v>
      </c>
      <c r="B587" s="6" t="s">
        <v>4260</v>
      </c>
      <c r="C587" s="4" t="s">
        <v>5237</v>
      </c>
      <c r="D587" s="9" t="s">
        <v>5238</v>
      </c>
    </row>
    <row r="588" spans="1:4" x14ac:dyDescent="0.3">
      <c r="A588" s="6" t="s">
        <v>5218</v>
      </c>
      <c r="B588" s="6" t="s">
        <v>4263</v>
      </c>
      <c r="C588" s="4" t="s">
        <v>5239</v>
      </c>
      <c r="D588" s="9" t="s">
        <v>5240</v>
      </c>
    </row>
    <row r="589" spans="1:4" x14ac:dyDescent="0.3">
      <c r="A589" s="6" t="s">
        <v>5218</v>
      </c>
      <c r="B589" s="6" t="s">
        <v>4266</v>
      </c>
      <c r="C589" s="4" t="s">
        <v>5241</v>
      </c>
      <c r="D589" s="9" t="s">
        <v>5242</v>
      </c>
    </row>
    <row r="590" spans="1:4" x14ac:dyDescent="0.3">
      <c r="A590" s="6" t="s">
        <v>5218</v>
      </c>
      <c r="B590" s="6" t="s">
        <v>4269</v>
      </c>
      <c r="C590" s="4" t="s">
        <v>5243</v>
      </c>
      <c r="D590" s="9" t="s">
        <v>5244</v>
      </c>
    </row>
    <row r="591" spans="1:4" x14ac:dyDescent="0.3">
      <c r="A591" s="6" t="s">
        <v>5218</v>
      </c>
      <c r="B591" s="6" t="s">
        <v>4272</v>
      </c>
      <c r="C591" s="4" t="s">
        <v>5245</v>
      </c>
      <c r="D591" s="9" t="s">
        <v>5246</v>
      </c>
    </row>
    <row r="592" spans="1:4" x14ac:dyDescent="0.3">
      <c r="A592" s="6" t="s">
        <v>5218</v>
      </c>
      <c r="B592" s="6" t="s">
        <v>4275</v>
      </c>
      <c r="C592" s="4" t="s">
        <v>5247</v>
      </c>
      <c r="D592" s="9" t="s">
        <v>5248</v>
      </c>
    </row>
    <row r="593" spans="1:4" x14ac:dyDescent="0.3">
      <c r="A593" s="6" t="s">
        <v>5218</v>
      </c>
      <c r="B593" s="6" t="s">
        <v>4278</v>
      </c>
      <c r="C593" s="4" t="s">
        <v>5249</v>
      </c>
      <c r="D593" s="9" t="s">
        <v>5250</v>
      </c>
    </row>
    <row r="594" spans="1:4" ht="24" x14ac:dyDescent="0.3">
      <c r="A594" s="6" t="s">
        <v>5218</v>
      </c>
      <c r="B594" s="6" t="s">
        <v>4281</v>
      </c>
      <c r="C594" s="4" t="s">
        <v>5251</v>
      </c>
      <c r="D594" s="9" t="s">
        <v>5252</v>
      </c>
    </row>
    <row r="595" spans="1:4" x14ac:dyDescent="0.3">
      <c r="A595" s="6" t="s">
        <v>5218</v>
      </c>
      <c r="B595" s="6" t="s">
        <v>4284</v>
      </c>
      <c r="C595" s="4" t="s">
        <v>5253</v>
      </c>
      <c r="D595" s="9" t="s">
        <v>5254</v>
      </c>
    </row>
    <row r="596" spans="1:4" x14ac:dyDescent="0.3">
      <c r="A596" s="6" t="s">
        <v>5218</v>
      </c>
      <c r="B596" s="6" t="s">
        <v>4287</v>
      </c>
      <c r="C596" s="4" t="s">
        <v>5255</v>
      </c>
      <c r="D596" s="9" t="s">
        <v>5256</v>
      </c>
    </row>
    <row r="597" spans="1:4" x14ac:dyDescent="0.3">
      <c r="A597" s="6" t="s">
        <v>5218</v>
      </c>
      <c r="B597" s="6" t="s">
        <v>4290</v>
      </c>
      <c r="C597" s="4" t="s">
        <v>5257</v>
      </c>
      <c r="D597" s="9" t="s">
        <v>4512</v>
      </c>
    </row>
    <row r="598" spans="1:4" x14ac:dyDescent="0.3">
      <c r="A598" s="6" t="s">
        <v>5218</v>
      </c>
      <c r="B598" s="6" t="s">
        <v>4293</v>
      </c>
      <c r="C598" s="4" t="s">
        <v>5258</v>
      </c>
      <c r="D598" s="9" t="s">
        <v>5259</v>
      </c>
    </row>
    <row r="599" spans="1:4" x14ac:dyDescent="0.3">
      <c r="A599" s="6" t="s">
        <v>5218</v>
      </c>
      <c r="B599" s="6" t="s">
        <v>4296</v>
      </c>
      <c r="C599" s="4" t="s">
        <v>5260</v>
      </c>
      <c r="D599" s="9" t="s">
        <v>5261</v>
      </c>
    </row>
    <row r="600" spans="1:4" ht="24" x14ac:dyDescent="0.3">
      <c r="A600" s="6" t="s">
        <v>5218</v>
      </c>
      <c r="B600" s="6" t="s">
        <v>4299</v>
      </c>
      <c r="C600" s="4" t="s">
        <v>5262</v>
      </c>
      <c r="D600" s="9" t="s">
        <v>5263</v>
      </c>
    </row>
    <row r="601" spans="1:4" ht="48" x14ac:dyDescent="0.3">
      <c r="A601" s="6" t="s">
        <v>5218</v>
      </c>
      <c r="B601" s="6" t="s">
        <v>4302</v>
      </c>
      <c r="C601" s="4" t="s">
        <v>5264</v>
      </c>
      <c r="D601" s="9" t="s">
        <v>5265</v>
      </c>
    </row>
    <row r="602" spans="1:4" x14ac:dyDescent="0.3">
      <c r="A602" s="6" t="s">
        <v>5218</v>
      </c>
      <c r="B602" s="6" t="s">
        <v>4305</v>
      </c>
      <c r="C602" s="4" t="s">
        <v>5266</v>
      </c>
      <c r="D602" s="9" t="s">
        <v>5267</v>
      </c>
    </row>
    <row r="603" spans="1:4" x14ac:dyDescent="0.3">
      <c r="A603" s="6" t="s">
        <v>5218</v>
      </c>
      <c r="B603" s="6" t="s">
        <v>4307</v>
      </c>
      <c r="C603" s="4" t="s">
        <v>5268</v>
      </c>
      <c r="D603" s="9" t="s">
        <v>5269</v>
      </c>
    </row>
    <row r="604" spans="1:4" ht="24" x14ac:dyDescent="0.3">
      <c r="A604" s="6" t="s">
        <v>5218</v>
      </c>
      <c r="B604" s="6" t="s">
        <v>4310</v>
      </c>
      <c r="C604" s="4" t="s">
        <v>5270</v>
      </c>
      <c r="D604" s="9" t="s">
        <v>4607</v>
      </c>
    </row>
    <row r="605" spans="1:4" x14ac:dyDescent="0.3">
      <c r="A605" s="6" t="s">
        <v>5218</v>
      </c>
      <c r="B605" s="6" t="s">
        <v>4312</v>
      </c>
      <c r="C605" s="4" t="s">
        <v>5271</v>
      </c>
      <c r="D605" s="9" t="s">
        <v>5272</v>
      </c>
    </row>
    <row r="606" spans="1:4" x14ac:dyDescent="0.3">
      <c r="A606" s="6" t="s">
        <v>5218</v>
      </c>
      <c r="B606" s="6" t="s">
        <v>4315</v>
      </c>
      <c r="C606" s="4" t="s">
        <v>5273</v>
      </c>
      <c r="D606" s="9" t="s">
        <v>5274</v>
      </c>
    </row>
    <row r="607" spans="1:4" x14ac:dyDescent="0.3">
      <c r="A607" s="6" t="s">
        <v>5218</v>
      </c>
      <c r="B607" s="6" t="s">
        <v>4318</v>
      </c>
      <c r="C607" s="4" t="s">
        <v>5275</v>
      </c>
      <c r="D607" s="9" t="s">
        <v>5276</v>
      </c>
    </row>
    <row r="608" spans="1:4" x14ac:dyDescent="0.3">
      <c r="A608" s="6" t="s">
        <v>5218</v>
      </c>
      <c r="B608" s="6" t="s">
        <v>4321</v>
      </c>
      <c r="C608" s="4" t="s">
        <v>5277</v>
      </c>
      <c r="D608" s="9" t="s">
        <v>5278</v>
      </c>
    </row>
    <row r="609" spans="1:4" x14ac:dyDescent="0.3">
      <c r="A609" s="6" t="s">
        <v>5218</v>
      </c>
      <c r="B609" s="6" t="s">
        <v>4324</v>
      </c>
      <c r="C609" s="4" t="s">
        <v>5279</v>
      </c>
      <c r="D609" s="9" t="s">
        <v>5280</v>
      </c>
    </row>
  </sheetData>
  <autoFilter ref="A5:D609" xr:uid="{00000000-0009-0000-0000-00000D000000}"/>
  <mergeCells count="1">
    <mergeCell ref="A2:D2"/>
  </mergeCells>
  <phoneticPr fontId="8" type="noConversion"/>
  <hyperlinks>
    <hyperlink ref="D6" r:id="rId1" xr:uid="{00000000-0004-0000-0D00-000000000000}"/>
    <hyperlink ref="D7" r:id="rId2" xr:uid="{00000000-0004-0000-0D00-000001000000}"/>
    <hyperlink ref="D8" r:id="rId3" xr:uid="{00000000-0004-0000-0D00-000002000000}"/>
    <hyperlink ref="D9" r:id="rId4" xr:uid="{00000000-0004-0000-0D00-000003000000}"/>
    <hyperlink ref="D10" r:id="rId5" xr:uid="{00000000-0004-0000-0D00-000004000000}"/>
    <hyperlink ref="D11" r:id="rId6" xr:uid="{00000000-0004-0000-0D00-000005000000}"/>
    <hyperlink ref="D12" r:id="rId7" xr:uid="{00000000-0004-0000-0D00-000006000000}"/>
    <hyperlink ref="D13" r:id="rId8" xr:uid="{00000000-0004-0000-0D00-000007000000}"/>
    <hyperlink ref="D14" r:id="rId9" xr:uid="{00000000-0004-0000-0D00-000008000000}"/>
    <hyperlink ref="D15" r:id="rId10" xr:uid="{00000000-0004-0000-0D00-000009000000}"/>
    <hyperlink ref="D16" r:id="rId11" xr:uid="{00000000-0004-0000-0D00-00000A000000}"/>
    <hyperlink ref="D17" r:id="rId12" xr:uid="{00000000-0004-0000-0D00-00000B000000}"/>
    <hyperlink ref="D18" r:id="rId13" xr:uid="{00000000-0004-0000-0D00-00000C000000}"/>
    <hyperlink ref="D19" r:id="rId14" xr:uid="{00000000-0004-0000-0D00-00000D000000}"/>
    <hyperlink ref="D20" r:id="rId15" xr:uid="{00000000-0004-0000-0D00-00000E000000}"/>
    <hyperlink ref="D21" r:id="rId16" xr:uid="{00000000-0004-0000-0D00-00000F000000}"/>
    <hyperlink ref="D22" r:id="rId17" xr:uid="{00000000-0004-0000-0D00-000010000000}"/>
    <hyperlink ref="D23" r:id="rId18" xr:uid="{00000000-0004-0000-0D00-000011000000}"/>
    <hyperlink ref="D24" r:id="rId19" xr:uid="{00000000-0004-0000-0D00-000012000000}"/>
    <hyperlink ref="D25" r:id="rId20" xr:uid="{00000000-0004-0000-0D00-000013000000}"/>
    <hyperlink ref="D26" r:id="rId21" xr:uid="{00000000-0004-0000-0D00-000014000000}"/>
    <hyperlink ref="D27" r:id="rId22" xr:uid="{00000000-0004-0000-0D00-000015000000}"/>
    <hyperlink ref="D28" r:id="rId23" xr:uid="{00000000-0004-0000-0D00-000016000000}"/>
    <hyperlink ref="D29" r:id="rId24" xr:uid="{00000000-0004-0000-0D00-000017000000}"/>
    <hyperlink ref="D30" r:id="rId25" xr:uid="{00000000-0004-0000-0D00-000018000000}"/>
    <hyperlink ref="D31" r:id="rId26" xr:uid="{00000000-0004-0000-0D00-000019000000}"/>
    <hyperlink ref="D32" r:id="rId27" xr:uid="{00000000-0004-0000-0D00-00001A000000}"/>
    <hyperlink ref="D33" r:id="rId28" xr:uid="{00000000-0004-0000-0D00-00001B000000}"/>
    <hyperlink ref="D34" r:id="rId29" xr:uid="{00000000-0004-0000-0D00-00001C000000}"/>
    <hyperlink ref="D35" r:id="rId30" xr:uid="{00000000-0004-0000-0D00-00001D000000}"/>
    <hyperlink ref="D36" r:id="rId31" xr:uid="{00000000-0004-0000-0D00-00001E000000}"/>
    <hyperlink ref="D37" r:id="rId32" xr:uid="{00000000-0004-0000-0D00-00001F000000}"/>
    <hyperlink ref="D38" r:id="rId33" xr:uid="{00000000-0004-0000-0D00-000020000000}"/>
    <hyperlink ref="D39" r:id="rId34" xr:uid="{00000000-0004-0000-0D00-000021000000}"/>
    <hyperlink ref="D40" r:id="rId35" xr:uid="{00000000-0004-0000-0D00-000022000000}"/>
    <hyperlink ref="D41" r:id="rId36" xr:uid="{00000000-0004-0000-0D00-000023000000}"/>
    <hyperlink ref="D42" r:id="rId37" xr:uid="{00000000-0004-0000-0D00-000024000000}"/>
    <hyperlink ref="D43" r:id="rId38" xr:uid="{00000000-0004-0000-0D00-000025000000}"/>
    <hyperlink ref="D44" r:id="rId39" xr:uid="{00000000-0004-0000-0D00-000026000000}"/>
    <hyperlink ref="D45" r:id="rId40" xr:uid="{00000000-0004-0000-0D00-000027000000}"/>
    <hyperlink ref="D46" r:id="rId41" xr:uid="{00000000-0004-0000-0D00-000028000000}"/>
    <hyperlink ref="D47" r:id="rId42" xr:uid="{00000000-0004-0000-0D00-000029000000}"/>
    <hyperlink ref="D48" r:id="rId43" xr:uid="{00000000-0004-0000-0D00-00002A000000}"/>
    <hyperlink ref="D49" r:id="rId44" xr:uid="{00000000-0004-0000-0D00-00002B000000}"/>
    <hyperlink ref="D50" r:id="rId45" xr:uid="{00000000-0004-0000-0D00-00002C000000}"/>
    <hyperlink ref="D51" r:id="rId46" xr:uid="{00000000-0004-0000-0D00-00002D000000}"/>
    <hyperlink ref="D52" r:id="rId47" xr:uid="{00000000-0004-0000-0D00-00002E000000}"/>
    <hyperlink ref="D53" r:id="rId48" xr:uid="{00000000-0004-0000-0D00-00002F000000}"/>
    <hyperlink ref="D54" r:id="rId49" xr:uid="{00000000-0004-0000-0D00-000030000000}"/>
    <hyperlink ref="D55" r:id="rId50" xr:uid="{00000000-0004-0000-0D00-000031000000}"/>
    <hyperlink ref="D56" r:id="rId51" xr:uid="{00000000-0004-0000-0D00-000032000000}"/>
    <hyperlink ref="D57" r:id="rId52" xr:uid="{00000000-0004-0000-0D00-000033000000}"/>
    <hyperlink ref="D58" r:id="rId53" xr:uid="{00000000-0004-0000-0D00-000034000000}"/>
    <hyperlink ref="D59" r:id="rId54" xr:uid="{00000000-0004-0000-0D00-000035000000}"/>
    <hyperlink ref="D61" r:id="rId55" xr:uid="{00000000-0004-0000-0D00-000036000000}"/>
    <hyperlink ref="D62" r:id="rId56" xr:uid="{00000000-0004-0000-0D00-000037000000}"/>
    <hyperlink ref="D63" r:id="rId57" xr:uid="{00000000-0004-0000-0D00-000038000000}"/>
    <hyperlink ref="D64" r:id="rId58" xr:uid="{00000000-0004-0000-0D00-000039000000}"/>
    <hyperlink ref="D65" r:id="rId59" xr:uid="{00000000-0004-0000-0D00-00003A000000}"/>
    <hyperlink ref="D66" r:id="rId60" xr:uid="{00000000-0004-0000-0D00-00003B000000}"/>
    <hyperlink ref="D67" r:id="rId61" xr:uid="{00000000-0004-0000-0D00-00003C000000}"/>
    <hyperlink ref="D68" r:id="rId62" xr:uid="{00000000-0004-0000-0D00-00003D000000}"/>
    <hyperlink ref="D69" r:id="rId63" xr:uid="{00000000-0004-0000-0D00-00003E000000}"/>
    <hyperlink ref="D70" r:id="rId64" xr:uid="{00000000-0004-0000-0D00-00003F000000}"/>
    <hyperlink ref="D71" r:id="rId65" xr:uid="{00000000-0004-0000-0D00-000040000000}"/>
    <hyperlink ref="D72" r:id="rId66" xr:uid="{00000000-0004-0000-0D00-000041000000}"/>
    <hyperlink ref="D73" r:id="rId67" xr:uid="{00000000-0004-0000-0D00-000042000000}"/>
    <hyperlink ref="D74" r:id="rId68" xr:uid="{00000000-0004-0000-0D00-000043000000}"/>
    <hyperlink ref="D75" r:id="rId69" xr:uid="{00000000-0004-0000-0D00-000044000000}"/>
    <hyperlink ref="D76" r:id="rId70" xr:uid="{00000000-0004-0000-0D00-000045000000}"/>
    <hyperlink ref="D77" r:id="rId71" xr:uid="{00000000-0004-0000-0D00-000046000000}"/>
    <hyperlink ref="D78" r:id="rId72" xr:uid="{00000000-0004-0000-0D00-000047000000}"/>
    <hyperlink ref="D79" r:id="rId73" xr:uid="{00000000-0004-0000-0D00-000048000000}"/>
    <hyperlink ref="D80" r:id="rId74" xr:uid="{00000000-0004-0000-0D00-000049000000}"/>
    <hyperlink ref="D81" r:id="rId75" xr:uid="{00000000-0004-0000-0D00-00004A000000}"/>
    <hyperlink ref="D82" r:id="rId76" xr:uid="{00000000-0004-0000-0D00-00004B000000}"/>
    <hyperlink ref="D83" r:id="rId77" xr:uid="{00000000-0004-0000-0D00-00004C000000}"/>
    <hyperlink ref="D84" r:id="rId78" xr:uid="{00000000-0004-0000-0D00-00004D000000}"/>
    <hyperlink ref="D85" r:id="rId79" xr:uid="{00000000-0004-0000-0D00-00004E000000}"/>
    <hyperlink ref="D86" r:id="rId80" xr:uid="{00000000-0004-0000-0D00-00004F000000}"/>
    <hyperlink ref="D87" r:id="rId81" xr:uid="{00000000-0004-0000-0D00-000050000000}"/>
    <hyperlink ref="D88" r:id="rId82" xr:uid="{00000000-0004-0000-0D00-000051000000}"/>
    <hyperlink ref="D89" r:id="rId83" xr:uid="{00000000-0004-0000-0D00-000052000000}"/>
    <hyperlink ref="D90" r:id="rId84" xr:uid="{00000000-0004-0000-0D00-000053000000}"/>
    <hyperlink ref="D91" r:id="rId85" xr:uid="{00000000-0004-0000-0D00-000054000000}"/>
    <hyperlink ref="D92" r:id="rId86" xr:uid="{00000000-0004-0000-0D00-000055000000}"/>
    <hyperlink ref="D93" r:id="rId87" xr:uid="{00000000-0004-0000-0D00-000056000000}"/>
    <hyperlink ref="D94" r:id="rId88" xr:uid="{00000000-0004-0000-0D00-000057000000}"/>
    <hyperlink ref="D95" r:id="rId89" xr:uid="{00000000-0004-0000-0D00-000058000000}"/>
    <hyperlink ref="D96" r:id="rId90" xr:uid="{00000000-0004-0000-0D00-000059000000}"/>
    <hyperlink ref="D97" r:id="rId91" xr:uid="{00000000-0004-0000-0D00-00005A000000}"/>
    <hyperlink ref="D98" r:id="rId92" xr:uid="{00000000-0004-0000-0D00-00005B000000}"/>
    <hyperlink ref="D99" r:id="rId93" xr:uid="{00000000-0004-0000-0D00-00005C000000}"/>
    <hyperlink ref="D100" r:id="rId94" xr:uid="{00000000-0004-0000-0D00-00005D000000}"/>
    <hyperlink ref="D101" r:id="rId95" xr:uid="{00000000-0004-0000-0D00-00005E000000}"/>
    <hyperlink ref="D102" r:id="rId96" xr:uid="{00000000-0004-0000-0D00-00005F000000}"/>
    <hyperlink ref="D103" r:id="rId97" xr:uid="{00000000-0004-0000-0D00-000060000000}"/>
    <hyperlink ref="D104" r:id="rId98" xr:uid="{00000000-0004-0000-0D00-000061000000}"/>
    <hyperlink ref="D105" r:id="rId99" xr:uid="{00000000-0004-0000-0D00-000062000000}"/>
    <hyperlink ref="D106" r:id="rId100" xr:uid="{00000000-0004-0000-0D00-000063000000}"/>
    <hyperlink ref="D107" r:id="rId101" xr:uid="{00000000-0004-0000-0D00-000064000000}"/>
    <hyperlink ref="D108" r:id="rId102" xr:uid="{00000000-0004-0000-0D00-000065000000}"/>
    <hyperlink ref="D109" r:id="rId103" xr:uid="{00000000-0004-0000-0D00-000066000000}"/>
    <hyperlink ref="D110" r:id="rId104" xr:uid="{00000000-0004-0000-0D00-000067000000}"/>
    <hyperlink ref="D111" r:id="rId105" xr:uid="{00000000-0004-0000-0D00-000068000000}"/>
    <hyperlink ref="D112" r:id="rId106" xr:uid="{00000000-0004-0000-0D00-000069000000}"/>
    <hyperlink ref="D113" r:id="rId107" xr:uid="{00000000-0004-0000-0D00-00006A000000}"/>
    <hyperlink ref="D114" r:id="rId108" xr:uid="{00000000-0004-0000-0D00-00006B000000}"/>
    <hyperlink ref="D115" r:id="rId109" xr:uid="{00000000-0004-0000-0D00-00006C000000}"/>
    <hyperlink ref="D116" r:id="rId110" xr:uid="{00000000-0004-0000-0D00-00006D000000}"/>
    <hyperlink ref="D117" r:id="rId111" xr:uid="{00000000-0004-0000-0D00-00006E000000}"/>
    <hyperlink ref="D118" r:id="rId112" xr:uid="{00000000-0004-0000-0D00-00006F000000}"/>
    <hyperlink ref="D119" r:id="rId113" xr:uid="{00000000-0004-0000-0D00-000070000000}"/>
    <hyperlink ref="D120" r:id="rId114" xr:uid="{00000000-0004-0000-0D00-000071000000}"/>
    <hyperlink ref="D121" r:id="rId115" xr:uid="{00000000-0004-0000-0D00-000072000000}"/>
    <hyperlink ref="D122" r:id="rId116" xr:uid="{00000000-0004-0000-0D00-000073000000}"/>
    <hyperlink ref="D123" r:id="rId117" xr:uid="{00000000-0004-0000-0D00-000074000000}"/>
    <hyperlink ref="D124" r:id="rId118" xr:uid="{00000000-0004-0000-0D00-000075000000}"/>
    <hyperlink ref="D125" r:id="rId119" xr:uid="{00000000-0004-0000-0D00-000076000000}"/>
    <hyperlink ref="D126" r:id="rId120" xr:uid="{00000000-0004-0000-0D00-000077000000}"/>
    <hyperlink ref="D127" r:id="rId121" xr:uid="{00000000-0004-0000-0D00-000078000000}"/>
    <hyperlink ref="D128" r:id="rId122" xr:uid="{00000000-0004-0000-0D00-000079000000}"/>
    <hyperlink ref="D129" r:id="rId123" xr:uid="{00000000-0004-0000-0D00-00007A000000}"/>
    <hyperlink ref="D130" r:id="rId124" xr:uid="{00000000-0004-0000-0D00-00007B000000}"/>
    <hyperlink ref="D131" r:id="rId125" xr:uid="{00000000-0004-0000-0D00-00007C000000}"/>
    <hyperlink ref="D132" r:id="rId126" xr:uid="{00000000-0004-0000-0D00-00007D000000}"/>
    <hyperlink ref="D133" r:id="rId127" xr:uid="{00000000-0004-0000-0D00-00007E000000}"/>
    <hyperlink ref="D134" r:id="rId128" xr:uid="{00000000-0004-0000-0D00-00007F000000}"/>
    <hyperlink ref="D135" r:id="rId129" xr:uid="{00000000-0004-0000-0D00-000080000000}"/>
    <hyperlink ref="D136" r:id="rId130" xr:uid="{00000000-0004-0000-0D00-000081000000}"/>
    <hyperlink ref="D137" r:id="rId131" xr:uid="{00000000-0004-0000-0D00-000082000000}"/>
    <hyperlink ref="D138" r:id="rId132" xr:uid="{00000000-0004-0000-0D00-000083000000}"/>
    <hyperlink ref="D139" r:id="rId133" xr:uid="{00000000-0004-0000-0D00-000084000000}"/>
    <hyperlink ref="D140" r:id="rId134" xr:uid="{00000000-0004-0000-0D00-000085000000}"/>
    <hyperlink ref="D141" r:id="rId135" xr:uid="{00000000-0004-0000-0D00-000086000000}"/>
    <hyperlink ref="D142" r:id="rId136" xr:uid="{00000000-0004-0000-0D00-000087000000}"/>
    <hyperlink ref="D143" r:id="rId137" xr:uid="{00000000-0004-0000-0D00-000088000000}"/>
    <hyperlink ref="D144" r:id="rId138" xr:uid="{00000000-0004-0000-0D00-000089000000}"/>
    <hyperlink ref="D145" r:id="rId139" xr:uid="{00000000-0004-0000-0D00-00008A000000}"/>
    <hyperlink ref="D146" r:id="rId140" xr:uid="{00000000-0004-0000-0D00-00008B000000}"/>
    <hyperlink ref="D147" r:id="rId141" xr:uid="{00000000-0004-0000-0D00-00008C000000}"/>
    <hyperlink ref="D148" r:id="rId142" xr:uid="{00000000-0004-0000-0D00-00008D000000}"/>
    <hyperlink ref="D149" r:id="rId143" xr:uid="{00000000-0004-0000-0D00-00008E000000}"/>
    <hyperlink ref="D150" r:id="rId144" xr:uid="{00000000-0004-0000-0D00-00008F000000}"/>
    <hyperlink ref="D151" r:id="rId145" xr:uid="{00000000-0004-0000-0D00-000090000000}"/>
    <hyperlink ref="D152" r:id="rId146" xr:uid="{00000000-0004-0000-0D00-000091000000}"/>
    <hyperlink ref="D153" r:id="rId147" xr:uid="{00000000-0004-0000-0D00-000092000000}"/>
    <hyperlink ref="D154" r:id="rId148" xr:uid="{00000000-0004-0000-0D00-000093000000}"/>
    <hyperlink ref="D155" r:id="rId149" xr:uid="{00000000-0004-0000-0D00-000094000000}"/>
    <hyperlink ref="D156" r:id="rId150" xr:uid="{00000000-0004-0000-0D00-000095000000}"/>
    <hyperlink ref="D157" r:id="rId151" xr:uid="{00000000-0004-0000-0D00-000096000000}"/>
    <hyperlink ref="D158" r:id="rId152" xr:uid="{00000000-0004-0000-0D00-000097000000}"/>
    <hyperlink ref="D159" r:id="rId153" xr:uid="{00000000-0004-0000-0D00-000098000000}"/>
    <hyperlink ref="D160" r:id="rId154" xr:uid="{00000000-0004-0000-0D00-000099000000}"/>
    <hyperlink ref="D161" r:id="rId155" xr:uid="{00000000-0004-0000-0D00-00009A000000}"/>
    <hyperlink ref="D162" r:id="rId156" xr:uid="{00000000-0004-0000-0D00-00009B000000}"/>
    <hyperlink ref="D163" r:id="rId157" xr:uid="{00000000-0004-0000-0D00-00009C000000}"/>
    <hyperlink ref="D164" r:id="rId158" xr:uid="{00000000-0004-0000-0D00-00009D000000}"/>
    <hyperlink ref="D165" r:id="rId159" xr:uid="{00000000-0004-0000-0D00-00009E000000}"/>
    <hyperlink ref="D166" r:id="rId160" xr:uid="{00000000-0004-0000-0D00-00009F000000}"/>
    <hyperlink ref="D167" r:id="rId161" xr:uid="{00000000-0004-0000-0D00-0000A0000000}"/>
    <hyperlink ref="D168" r:id="rId162" xr:uid="{00000000-0004-0000-0D00-0000A1000000}"/>
    <hyperlink ref="D169" r:id="rId163" xr:uid="{00000000-0004-0000-0D00-0000A2000000}"/>
    <hyperlink ref="D170" r:id="rId164" xr:uid="{00000000-0004-0000-0D00-0000A3000000}"/>
    <hyperlink ref="D171" r:id="rId165" xr:uid="{00000000-0004-0000-0D00-0000A4000000}"/>
    <hyperlink ref="D172" r:id="rId166" xr:uid="{00000000-0004-0000-0D00-0000A5000000}"/>
    <hyperlink ref="D173" r:id="rId167" xr:uid="{00000000-0004-0000-0D00-0000A6000000}"/>
    <hyperlink ref="D174" r:id="rId168" xr:uid="{00000000-0004-0000-0D00-0000A7000000}"/>
    <hyperlink ref="D175" r:id="rId169" xr:uid="{00000000-0004-0000-0D00-0000A8000000}"/>
    <hyperlink ref="D176" r:id="rId170" xr:uid="{00000000-0004-0000-0D00-0000A9000000}"/>
    <hyperlink ref="D177" r:id="rId171" xr:uid="{00000000-0004-0000-0D00-0000AA000000}"/>
    <hyperlink ref="D178" r:id="rId172" xr:uid="{00000000-0004-0000-0D00-0000AB000000}"/>
    <hyperlink ref="D179" r:id="rId173" xr:uid="{00000000-0004-0000-0D00-0000AC000000}"/>
    <hyperlink ref="D180" r:id="rId174" xr:uid="{00000000-0004-0000-0D00-0000AD000000}"/>
    <hyperlink ref="D181" r:id="rId175" xr:uid="{00000000-0004-0000-0D00-0000AE000000}"/>
    <hyperlink ref="D182" r:id="rId176" xr:uid="{00000000-0004-0000-0D00-0000AF000000}"/>
    <hyperlink ref="D183" r:id="rId177" xr:uid="{00000000-0004-0000-0D00-0000B0000000}"/>
    <hyperlink ref="D184" r:id="rId178" xr:uid="{00000000-0004-0000-0D00-0000B1000000}"/>
    <hyperlink ref="D185" r:id="rId179" xr:uid="{00000000-0004-0000-0D00-0000B2000000}"/>
    <hyperlink ref="D186" r:id="rId180" xr:uid="{00000000-0004-0000-0D00-0000B3000000}"/>
    <hyperlink ref="D187" r:id="rId181" xr:uid="{00000000-0004-0000-0D00-0000B4000000}"/>
    <hyperlink ref="D188" r:id="rId182" xr:uid="{00000000-0004-0000-0D00-0000B5000000}"/>
    <hyperlink ref="D189" r:id="rId183" xr:uid="{00000000-0004-0000-0D00-0000B6000000}"/>
    <hyperlink ref="D190" r:id="rId184" xr:uid="{00000000-0004-0000-0D00-0000B7000000}"/>
    <hyperlink ref="D191" r:id="rId185" xr:uid="{00000000-0004-0000-0D00-0000B8000000}"/>
    <hyperlink ref="D192" r:id="rId186" xr:uid="{00000000-0004-0000-0D00-0000B9000000}"/>
    <hyperlink ref="D193" r:id="rId187" xr:uid="{00000000-0004-0000-0D00-0000BA000000}"/>
    <hyperlink ref="D194" r:id="rId188" xr:uid="{00000000-0004-0000-0D00-0000BB000000}"/>
    <hyperlink ref="D195" r:id="rId189" xr:uid="{00000000-0004-0000-0D00-0000BC000000}"/>
    <hyperlink ref="D196" r:id="rId190" xr:uid="{00000000-0004-0000-0D00-0000BD000000}"/>
    <hyperlink ref="D197" r:id="rId191" xr:uid="{00000000-0004-0000-0D00-0000BE000000}"/>
    <hyperlink ref="D198" r:id="rId192" xr:uid="{00000000-0004-0000-0D00-0000BF000000}"/>
    <hyperlink ref="D199" r:id="rId193" xr:uid="{00000000-0004-0000-0D00-0000C0000000}"/>
    <hyperlink ref="D200" r:id="rId194" xr:uid="{00000000-0004-0000-0D00-0000C1000000}"/>
    <hyperlink ref="D201" r:id="rId195" xr:uid="{00000000-0004-0000-0D00-0000C2000000}"/>
    <hyperlink ref="D202" r:id="rId196" xr:uid="{00000000-0004-0000-0D00-0000C3000000}"/>
    <hyperlink ref="D203" r:id="rId197" xr:uid="{00000000-0004-0000-0D00-0000C4000000}"/>
    <hyperlink ref="D204" r:id="rId198" xr:uid="{00000000-0004-0000-0D00-0000C5000000}"/>
    <hyperlink ref="D205" r:id="rId199" xr:uid="{00000000-0004-0000-0D00-0000C6000000}"/>
    <hyperlink ref="D206" r:id="rId200" xr:uid="{00000000-0004-0000-0D00-0000C7000000}"/>
    <hyperlink ref="D207" r:id="rId201" xr:uid="{00000000-0004-0000-0D00-0000C8000000}"/>
    <hyperlink ref="D208" r:id="rId202" xr:uid="{00000000-0004-0000-0D00-0000C9000000}"/>
    <hyperlink ref="D209" r:id="rId203" xr:uid="{00000000-0004-0000-0D00-0000CA000000}"/>
    <hyperlink ref="D210" r:id="rId204" xr:uid="{00000000-0004-0000-0D00-0000CB000000}"/>
    <hyperlink ref="D211" r:id="rId205" xr:uid="{00000000-0004-0000-0D00-0000CC000000}"/>
    <hyperlink ref="D212" r:id="rId206" xr:uid="{00000000-0004-0000-0D00-0000CD000000}"/>
    <hyperlink ref="D213" r:id="rId207" xr:uid="{00000000-0004-0000-0D00-0000CE000000}"/>
    <hyperlink ref="D214" r:id="rId208" xr:uid="{00000000-0004-0000-0D00-0000CF000000}"/>
    <hyperlink ref="D215" r:id="rId209" xr:uid="{00000000-0004-0000-0D00-0000D0000000}"/>
    <hyperlink ref="D216" r:id="rId210" xr:uid="{00000000-0004-0000-0D00-0000D1000000}"/>
    <hyperlink ref="D217" r:id="rId211" xr:uid="{00000000-0004-0000-0D00-0000D2000000}"/>
    <hyperlink ref="D218" r:id="rId212" xr:uid="{00000000-0004-0000-0D00-0000D3000000}"/>
    <hyperlink ref="D219" r:id="rId213" xr:uid="{00000000-0004-0000-0D00-0000D4000000}"/>
    <hyperlink ref="D220" r:id="rId214" xr:uid="{00000000-0004-0000-0D00-0000D5000000}"/>
    <hyperlink ref="D221" r:id="rId215" xr:uid="{00000000-0004-0000-0D00-0000D6000000}"/>
    <hyperlink ref="D222" r:id="rId216" xr:uid="{00000000-0004-0000-0D00-0000D7000000}"/>
    <hyperlink ref="D223" r:id="rId217" xr:uid="{00000000-0004-0000-0D00-0000D8000000}"/>
    <hyperlink ref="D224" r:id="rId218" xr:uid="{00000000-0004-0000-0D00-0000D9000000}"/>
    <hyperlink ref="D225" r:id="rId219" xr:uid="{00000000-0004-0000-0D00-0000DA000000}"/>
    <hyperlink ref="D226" r:id="rId220" xr:uid="{00000000-0004-0000-0D00-0000DB000000}"/>
    <hyperlink ref="D227" r:id="rId221" xr:uid="{00000000-0004-0000-0D00-0000DC000000}"/>
    <hyperlink ref="D228" r:id="rId222" xr:uid="{00000000-0004-0000-0D00-0000DD000000}"/>
    <hyperlink ref="D229" r:id="rId223" xr:uid="{00000000-0004-0000-0D00-0000DE000000}"/>
    <hyperlink ref="D230" r:id="rId224" xr:uid="{00000000-0004-0000-0D00-0000DF000000}"/>
    <hyperlink ref="D231" r:id="rId225" xr:uid="{00000000-0004-0000-0D00-0000E0000000}"/>
    <hyperlink ref="D232" r:id="rId226" xr:uid="{00000000-0004-0000-0D00-0000E1000000}"/>
    <hyperlink ref="D233" r:id="rId227" xr:uid="{00000000-0004-0000-0D00-0000E2000000}"/>
    <hyperlink ref="D234" r:id="rId228" xr:uid="{00000000-0004-0000-0D00-0000E3000000}"/>
    <hyperlink ref="D235" r:id="rId229" xr:uid="{00000000-0004-0000-0D00-0000E4000000}"/>
    <hyperlink ref="D236" r:id="rId230" xr:uid="{00000000-0004-0000-0D00-0000E5000000}"/>
    <hyperlink ref="D237" r:id="rId231" xr:uid="{00000000-0004-0000-0D00-0000E6000000}"/>
    <hyperlink ref="D238" r:id="rId232" xr:uid="{00000000-0004-0000-0D00-0000E7000000}"/>
    <hyperlink ref="D239" r:id="rId233" xr:uid="{00000000-0004-0000-0D00-0000E8000000}"/>
    <hyperlink ref="D240" r:id="rId234" xr:uid="{00000000-0004-0000-0D00-0000E9000000}"/>
    <hyperlink ref="D241" r:id="rId235" xr:uid="{00000000-0004-0000-0D00-0000EA000000}"/>
    <hyperlink ref="D242" r:id="rId236" xr:uid="{00000000-0004-0000-0D00-0000EB000000}"/>
    <hyperlink ref="D243" r:id="rId237" xr:uid="{00000000-0004-0000-0D00-0000EC000000}"/>
    <hyperlink ref="D244" r:id="rId238" xr:uid="{00000000-0004-0000-0D00-0000ED000000}"/>
    <hyperlink ref="D245" r:id="rId239" xr:uid="{00000000-0004-0000-0D00-0000EE000000}"/>
    <hyperlink ref="D246" r:id="rId240" xr:uid="{00000000-0004-0000-0D00-0000EF000000}"/>
    <hyperlink ref="D247" r:id="rId241" xr:uid="{00000000-0004-0000-0D00-0000F0000000}"/>
    <hyperlink ref="D248" r:id="rId242" xr:uid="{00000000-0004-0000-0D00-0000F1000000}"/>
    <hyperlink ref="D249" r:id="rId243" xr:uid="{00000000-0004-0000-0D00-0000F2000000}"/>
    <hyperlink ref="D250" r:id="rId244" xr:uid="{00000000-0004-0000-0D00-0000F3000000}"/>
    <hyperlink ref="D251" r:id="rId245" xr:uid="{00000000-0004-0000-0D00-0000F4000000}"/>
    <hyperlink ref="D252" r:id="rId246" xr:uid="{00000000-0004-0000-0D00-0000F5000000}"/>
    <hyperlink ref="D253" r:id="rId247" xr:uid="{00000000-0004-0000-0D00-0000F6000000}"/>
    <hyperlink ref="D254" r:id="rId248" xr:uid="{00000000-0004-0000-0D00-0000F7000000}"/>
    <hyperlink ref="D255" r:id="rId249" xr:uid="{00000000-0004-0000-0D00-0000F8000000}"/>
    <hyperlink ref="D256" r:id="rId250" xr:uid="{00000000-0004-0000-0D00-0000F9000000}"/>
    <hyperlink ref="D257" r:id="rId251" xr:uid="{00000000-0004-0000-0D00-0000FA000000}"/>
    <hyperlink ref="D258" r:id="rId252" xr:uid="{00000000-0004-0000-0D00-0000FB000000}"/>
    <hyperlink ref="D259" r:id="rId253" xr:uid="{00000000-0004-0000-0D00-0000FC000000}"/>
    <hyperlink ref="D260" r:id="rId254" xr:uid="{00000000-0004-0000-0D00-0000FD000000}"/>
    <hyperlink ref="D261" r:id="rId255" xr:uid="{00000000-0004-0000-0D00-0000FE000000}"/>
    <hyperlink ref="D262" r:id="rId256" xr:uid="{00000000-0004-0000-0D00-0000FF000000}"/>
    <hyperlink ref="D263" r:id="rId257" xr:uid="{00000000-0004-0000-0D00-000000010000}"/>
    <hyperlink ref="D264" r:id="rId258" xr:uid="{00000000-0004-0000-0D00-000001010000}"/>
    <hyperlink ref="D265" r:id="rId259" xr:uid="{00000000-0004-0000-0D00-000002010000}"/>
    <hyperlink ref="D266" r:id="rId260" xr:uid="{00000000-0004-0000-0D00-000003010000}"/>
    <hyperlink ref="D267" r:id="rId261" xr:uid="{00000000-0004-0000-0D00-000004010000}"/>
    <hyperlink ref="D268" r:id="rId262" xr:uid="{00000000-0004-0000-0D00-000005010000}"/>
    <hyperlink ref="D269" r:id="rId263" xr:uid="{00000000-0004-0000-0D00-000006010000}"/>
    <hyperlink ref="D270" r:id="rId264" xr:uid="{00000000-0004-0000-0D00-000007010000}"/>
    <hyperlink ref="D271" r:id="rId265" xr:uid="{00000000-0004-0000-0D00-000008010000}"/>
    <hyperlink ref="D272" r:id="rId266" xr:uid="{00000000-0004-0000-0D00-000009010000}"/>
    <hyperlink ref="D273" r:id="rId267" xr:uid="{00000000-0004-0000-0D00-00000A010000}"/>
    <hyperlink ref="D274" r:id="rId268" xr:uid="{00000000-0004-0000-0D00-00000B010000}"/>
    <hyperlink ref="D275" r:id="rId269" xr:uid="{00000000-0004-0000-0D00-00000C010000}"/>
    <hyperlink ref="D276" r:id="rId270" xr:uid="{00000000-0004-0000-0D00-00000D010000}"/>
    <hyperlink ref="D277" r:id="rId271" xr:uid="{00000000-0004-0000-0D00-00000E010000}"/>
    <hyperlink ref="D278" r:id="rId272" xr:uid="{00000000-0004-0000-0D00-00000F010000}"/>
    <hyperlink ref="D279" r:id="rId273" xr:uid="{00000000-0004-0000-0D00-000010010000}"/>
    <hyperlink ref="D280" r:id="rId274" xr:uid="{00000000-0004-0000-0D00-000011010000}"/>
    <hyperlink ref="D281" r:id="rId275" xr:uid="{00000000-0004-0000-0D00-000012010000}"/>
    <hyperlink ref="D282" r:id="rId276" xr:uid="{00000000-0004-0000-0D00-000013010000}"/>
    <hyperlink ref="D283" r:id="rId277" xr:uid="{00000000-0004-0000-0D00-000014010000}"/>
    <hyperlink ref="D284" r:id="rId278" xr:uid="{00000000-0004-0000-0D00-000015010000}"/>
    <hyperlink ref="D285" r:id="rId279" xr:uid="{00000000-0004-0000-0D00-000016010000}"/>
    <hyperlink ref="D286" r:id="rId280" xr:uid="{00000000-0004-0000-0D00-000017010000}"/>
    <hyperlink ref="D287" r:id="rId281" xr:uid="{00000000-0004-0000-0D00-000018010000}"/>
    <hyperlink ref="D288" r:id="rId282" xr:uid="{00000000-0004-0000-0D00-000019010000}"/>
    <hyperlink ref="D289" r:id="rId283" xr:uid="{00000000-0004-0000-0D00-00001A010000}"/>
    <hyperlink ref="D290" r:id="rId284" xr:uid="{00000000-0004-0000-0D00-00001B010000}"/>
    <hyperlink ref="D291" r:id="rId285" xr:uid="{00000000-0004-0000-0D00-00001C010000}"/>
    <hyperlink ref="D292" r:id="rId286" xr:uid="{00000000-0004-0000-0D00-00001D010000}"/>
    <hyperlink ref="D293" r:id="rId287" xr:uid="{00000000-0004-0000-0D00-00001E010000}"/>
    <hyperlink ref="D294" r:id="rId288" xr:uid="{00000000-0004-0000-0D00-00001F010000}"/>
    <hyperlink ref="D295" r:id="rId289" xr:uid="{00000000-0004-0000-0D00-000020010000}"/>
    <hyperlink ref="D296" r:id="rId290" xr:uid="{00000000-0004-0000-0D00-000021010000}"/>
    <hyperlink ref="D297" r:id="rId291" xr:uid="{00000000-0004-0000-0D00-000022010000}"/>
    <hyperlink ref="D298" r:id="rId292" xr:uid="{00000000-0004-0000-0D00-000023010000}"/>
    <hyperlink ref="D299" r:id="rId293" xr:uid="{00000000-0004-0000-0D00-000024010000}"/>
    <hyperlink ref="D300" r:id="rId294" xr:uid="{00000000-0004-0000-0D00-000025010000}"/>
    <hyperlink ref="D301" r:id="rId295" xr:uid="{00000000-0004-0000-0D00-000026010000}"/>
    <hyperlink ref="D302" r:id="rId296" xr:uid="{00000000-0004-0000-0D00-000027010000}"/>
    <hyperlink ref="D303" r:id="rId297" xr:uid="{00000000-0004-0000-0D00-000028010000}"/>
    <hyperlink ref="D304" r:id="rId298" xr:uid="{00000000-0004-0000-0D00-000029010000}"/>
    <hyperlink ref="D305" r:id="rId299" xr:uid="{00000000-0004-0000-0D00-00002A010000}"/>
    <hyperlink ref="D306" r:id="rId300" xr:uid="{00000000-0004-0000-0D00-00002B010000}"/>
    <hyperlink ref="D307" r:id="rId301" xr:uid="{00000000-0004-0000-0D00-00002C010000}"/>
    <hyperlink ref="D308" r:id="rId302" xr:uid="{00000000-0004-0000-0D00-00002D010000}"/>
    <hyperlink ref="D309" r:id="rId303" xr:uid="{00000000-0004-0000-0D00-00002E010000}"/>
    <hyperlink ref="D310" r:id="rId304" xr:uid="{00000000-0004-0000-0D00-00002F010000}"/>
    <hyperlink ref="D311" r:id="rId305" xr:uid="{00000000-0004-0000-0D00-000030010000}"/>
    <hyperlink ref="D312" r:id="rId306" xr:uid="{00000000-0004-0000-0D00-000031010000}"/>
    <hyperlink ref="D313" r:id="rId307" xr:uid="{00000000-0004-0000-0D00-000032010000}"/>
    <hyperlink ref="D314" r:id="rId308" xr:uid="{00000000-0004-0000-0D00-000033010000}"/>
    <hyperlink ref="D315" r:id="rId309" xr:uid="{00000000-0004-0000-0D00-000034010000}"/>
    <hyperlink ref="D316" r:id="rId310" xr:uid="{00000000-0004-0000-0D00-000035010000}"/>
    <hyperlink ref="D317" r:id="rId311" xr:uid="{00000000-0004-0000-0D00-000036010000}"/>
    <hyperlink ref="D318" r:id="rId312" xr:uid="{00000000-0004-0000-0D00-000037010000}"/>
    <hyperlink ref="D319" r:id="rId313" xr:uid="{00000000-0004-0000-0D00-000038010000}"/>
    <hyperlink ref="D320" r:id="rId314" xr:uid="{00000000-0004-0000-0D00-000039010000}"/>
    <hyperlink ref="D321" r:id="rId315" xr:uid="{00000000-0004-0000-0D00-00003A010000}"/>
    <hyperlink ref="D322" r:id="rId316" xr:uid="{00000000-0004-0000-0D00-00003B010000}"/>
    <hyperlink ref="D323" r:id="rId317" xr:uid="{00000000-0004-0000-0D00-00003C010000}"/>
    <hyperlink ref="D324" r:id="rId318" xr:uid="{00000000-0004-0000-0D00-00003D010000}"/>
    <hyperlink ref="D325" r:id="rId319" xr:uid="{00000000-0004-0000-0D00-00003E010000}"/>
    <hyperlink ref="D326" r:id="rId320" xr:uid="{00000000-0004-0000-0D00-00003F010000}"/>
    <hyperlink ref="D327" r:id="rId321" xr:uid="{00000000-0004-0000-0D00-000040010000}"/>
    <hyperlink ref="D328" r:id="rId322" xr:uid="{00000000-0004-0000-0D00-000041010000}"/>
    <hyperlink ref="D329" r:id="rId323" xr:uid="{00000000-0004-0000-0D00-000042010000}"/>
    <hyperlink ref="D330" r:id="rId324" xr:uid="{00000000-0004-0000-0D00-000043010000}"/>
    <hyperlink ref="D331" r:id="rId325" xr:uid="{00000000-0004-0000-0D00-000044010000}"/>
    <hyperlink ref="D332" r:id="rId326" xr:uid="{00000000-0004-0000-0D00-000045010000}"/>
    <hyperlink ref="D333" r:id="rId327" xr:uid="{00000000-0004-0000-0D00-000046010000}"/>
    <hyperlink ref="D334" r:id="rId328" xr:uid="{00000000-0004-0000-0D00-000047010000}"/>
    <hyperlink ref="D335" r:id="rId329" xr:uid="{00000000-0004-0000-0D00-000048010000}"/>
    <hyperlink ref="D336" r:id="rId330" xr:uid="{00000000-0004-0000-0D00-000049010000}"/>
    <hyperlink ref="D337" r:id="rId331" xr:uid="{00000000-0004-0000-0D00-00004A010000}"/>
    <hyperlink ref="D338" r:id="rId332" xr:uid="{00000000-0004-0000-0D00-00004B010000}"/>
    <hyperlink ref="D339" r:id="rId333" xr:uid="{00000000-0004-0000-0D00-00004C010000}"/>
    <hyperlink ref="D340" r:id="rId334" xr:uid="{00000000-0004-0000-0D00-00004D010000}"/>
    <hyperlink ref="D341" r:id="rId335" xr:uid="{00000000-0004-0000-0D00-00004E010000}"/>
    <hyperlink ref="D342" r:id="rId336" xr:uid="{00000000-0004-0000-0D00-00004F010000}"/>
    <hyperlink ref="D343" r:id="rId337" xr:uid="{00000000-0004-0000-0D00-000050010000}"/>
    <hyperlink ref="D344" r:id="rId338" xr:uid="{00000000-0004-0000-0D00-000051010000}"/>
    <hyperlink ref="D345" r:id="rId339" xr:uid="{00000000-0004-0000-0D00-000052010000}"/>
    <hyperlink ref="D346" r:id="rId340" xr:uid="{00000000-0004-0000-0D00-000053010000}"/>
    <hyperlink ref="D347" r:id="rId341" xr:uid="{00000000-0004-0000-0D00-000054010000}"/>
    <hyperlink ref="D348" r:id="rId342" xr:uid="{00000000-0004-0000-0D00-000055010000}"/>
    <hyperlink ref="D349" r:id="rId343" xr:uid="{00000000-0004-0000-0D00-000056010000}"/>
    <hyperlink ref="D350" r:id="rId344" xr:uid="{00000000-0004-0000-0D00-000057010000}"/>
    <hyperlink ref="D351" r:id="rId345" xr:uid="{00000000-0004-0000-0D00-000058010000}"/>
    <hyperlink ref="D352" r:id="rId346" xr:uid="{00000000-0004-0000-0D00-000059010000}"/>
    <hyperlink ref="D353" r:id="rId347" xr:uid="{00000000-0004-0000-0D00-00005A010000}"/>
    <hyperlink ref="D354" r:id="rId348" xr:uid="{00000000-0004-0000-0D00-00005B010000}"/>
    <hyperlink ref="D355" r:id="rId349" xr:uid="{00000000-0004-0000-0D00-00005C010000}"/>
    <hyperlink ref="D356" r:id="rId350" xr:uid="{00000000-0004-0000-0D00-00005D010000}"/>
    <hyperlink ref="D357" r:id="rId351" xr:uid="{00000000-0004-0000-0D00-00005E010000}"/>
    <hyperlink ref="D358" r:id="rId352" xr:uid="{00000000-0004-0000-0D00-00005F010000}"/>
    <hyperlink ref="D359" r:id="rId353" xr:uid="{00000000-0004-0000-0D00-000060010000}"/>
    <hyperlink ref="D360" r:id="rId354" xr:uid="{00000000-0004-0000-0D00-000061010000}"/>
    <hyperlink ref="D361" r:id="rId355" xr:uid="{00000000-0004-0000-0D00-000062010000}"/>
    <hyperlink ref="D362" r:id="rId356" xr:uid="{00000000-0004-0000-0D00-000063010000}"/>
    <hyperlink ref="D363" r:id="rId357" xr:uid="{00000000-0004-0000-0D00-000064010000}"/>
    <hyperlink ref="D364" r:id="rId358" xr:uid="{00000000-0004-0000-0D00-000065010000}"/>
    <hyperlink ref="D365" r:id="rId359" xr:uid="{00000000-0004-0000-0D00-000066010000}"/>
    <hyperlink ref="D366" r:id="rId360" xr:uid="{00000000-0004-0000-0D00-000067010000}"/>
    <hyperlink ref="D367" r:id="rId361" xr:uid="{00000000-0004-0000-0D00-000068010000}"/>
    <hyperlink ref="D368" r:id="rId362" xr:uid="{00000000-0004-0000-0D00-000069010000}"/>
    <hyperlink ref="D369" r:id="rId363" xr:uid="{00000000-0004-0000-0D00-00006A010000}"/>
    <hyperlink ref="D370" r:id="rId364" xr:uid="{00000000-0004-0000-0D00-00006B010000}"/>
    <hyperlink ref="D371" r:id="rId365" xr:uid="{00000000-0004-0000-0D00-00006C010000}"/>
    <hyperlink ref="D372" r:id="rId366" xr:uid="{00000000-0004-0000-0D00-00006D010000}"/>
    <hyperlink ref="D373" r:id="rId367" xr:uid="{00000000-0004-0000-0D00-00006E010000}"/>
    <hyperlink ref="D374" r:id="rId368" xr:uid="{00000000-0004-0000-0D00-00006F010000}"/>
    <hyperlink ref="D375" r:id="rId369" xr:uid="{00000000-0004-0000-0D00-000070010000}"/>
    <hyperlink ref="D376" r:id="rId370" xr:uid="{00000000-0004-0000-0D00-000071010000}"/>
    <hyperlink ref="D377" r:id="rId371" xr:uid="{00000000-0004-0000-0D00-000072010000}"/>
    <hyperlink ref="D378" r:id="rId372" xr:uid="{00000000-0004-0000-0D00-000073010000}"/>
    <hyperlink ref="D379" r:id="rId373" xr:uid="{00000000-0004-0000-0D00-000074010000}"/>
    <hyperlink ref="D380" r:id="rId374" xr:uid="{00000000-0004-0000-0D00-000075010000}"/>
    <hyperlink ref="D381" r:id="rId375" xr:uid="{00000000-0004-0000-0D00-000076010000}"/>
    <hyperlink ref="D382" r:id="rId376" xr:uid="{00000000-0004-0000-0D00-000077010000}"/>
    <hyperlink ref="D383" r:id="rId377" xr:uid="{00000000-0004-0000-0D00-000078010000}"/>
    <hyperlink ref="D384" r:id="rId378" xr:uid="{00000000-0004-0000-0D00-000079010000}"/>
    <hyperlink ref="D385" r:id="rId379" xr:uid="{00000000-0004-0000-0D00-00007A010000}"/>
    <hyperlink ref="D386" r:id="rId380" xr:uid="{00000000-0004-0000-0D00-00007B010000}"/>
    <hyperlink ref="D387" r:id="rId381" xr:uid="{00000000-0004-0000-0D00-00007C010000}"/>
    <hyperlink ref="D388" r:id="rId382" xr:uid="{00000000-0004-0000-0D00-00007D010000}"/>
    <hyperlink ref="D389" r:id="rId383" xr:uid="{00000000-0004-0000-0D00-00007E010000}"/>
    <hyperlink ref="D390" r:id="rId384" xr:uid="{00000000-0004-0000-0D00-00007F010000}"/>
    <hyperlink ref="D391" r:id="rId385" xr:uid="{00000000-0004-0000-0D00-000080010000}"/>
    <hyperlink ref="D392" r:id="rId386" xr:uid="{00000000-0004-0000-0D00-000081010000}"/>
    <hyperlink ref="D393" r:id="rId387" xr:uid="{00000000-0004-0000-0D00-000082010000}"/>
    <hyperlink ref="D394" r:id="rId388" xr:uid="{00000000-0004-0000-0D00-000083010000}"/>
    <hyperlink ref="D395" r:id="rId389" xr:uid="{00000000-0004-0000-0D00-000084010000}"/>
    <hyperlink ref="D396" r:id="rId390" xr:uid="{00000000-0004-0000-0D00-000085010000}"/>
    <hyperlink ref="D397" r:id="rId391" xr:uid="{00000000-0004-0000-0D00-000086010000}"/>
    <hyperlink ref="D398" r:id="rId392" xr:uid="{00000000-0004-0000-0D00-000087010000}"/>
    <hyperlink ref="D399" r:id="rId393" xr:uid="{00000000-0004-0000-0D00-000088010000}"/>
    <hyperlink ref="D400" r:id="rId394" xr:uid="{00000000-0004-0000-0D00-000089010000}"/>
    <hyperlink ref="D401" r:id="rId395" xr:uid="{00000000-0004-0000-0D00-00008A010000}"/>
    <hyperlink ref="D402" r:id="rId396" xr:uid="{00000000-0004-0000-0D00-00008B010000}"/>
    <hyperlink ref="D403" r:id="rId397" xr:uid="{00000000-0004-0000-0D00-00008C010000}"/>
    <hyperlink ref="D404" r:id="rId398" xr:uid="{00000000-0004-0000-0D00-00008D010000}"/>
    <hyperlink ref="D405" r:id="rId399" xr:uid="{00000000-0004-0000-0D00-00008E010000}"/>
    <hyperlink ref="D406" r:id="rId400" xr:uid="{00000000-0004-0000-0D00-00008F010000}"/>
    <hyperlink ref="D407" r:id="rId401" xr:uid="{00000000-0004-0000-0D00-000090010000}"/>
    <hyperlink ref="D408" r:id="rId402" xr:uid="{00000000-0004-0000-0D00-000091010000}"/>
    <hyperlink ref="D409" r:id="rId403" xr:uid="{00000000-0004-0000-0D00-000092010000}"/>
    <hyperlink ref="D410" r:id="rId404" xr:uid="{00000000-0004-0000-0D00-000093010000}"/>
    <hyperlink ref="D411" r:id="rId405" xr:uid="{00000000-0004-0000-0D00-000094010000}"/>
    <hyperlink ref="D412" r:id="rId406" xr:uid="{00000000-0004-0000-0D00-000095010000}"/>
    <hyperlink ref="D413" r:id="rId407" xr:uid="{00000000-0004-0000-0D00-000096010000}"/>
    <hyperlink ref="D414" r:id="rId408" xr:uid="{00000000-0004-0000-0D00-000097010000}"/>
    <hyperlink ref="D415" r:id="rId409" xr:uid="{00000000-0004-0000-0D00-000098010000}"/>
    <hyperlink ref="D416" r:id="rId410" xr:uid="{00000000-0004-0000-0D00-000099010000}"/>
    <hyperlink ref="D417" r:id="rId411" xr:uid="{00000000-0004-0000-0D00-00009A010000}"/>
    <hyperlink ref="D418" r:id="rId412" xr:uid="{00000000-0004-0000-0D00-00009B010000}"/>
    <hyperlink ref="D419" r:id="rId413" xr:uid="{00000000-0004-0000-0D00-00009C010000}"/>
    <hyperlink ref="D420" r:id="rId414" xr:uid="{00000000-0004-0000-0D00-00009D010000}"/>
    <hyperlink ref="D421" r:id="rId415" xr:uid="{00000000-0004-0000-0D00-00009E010000}"/>
    <hyperlink ref="D422" r:id="rId416" xr:uid="{00000000-0004-0000-0D00-00009F010000}"/>
    <hyperlink ref="D423" r:id="rId417" xr:uid="{00000000-0004-0000-0D00-0000A0010000}"/>
    <hyperlink ref="D424" r:id="rId418" xr:uid="{00000000-0004-0000-0D00-0000A1010000}"/>
    <hyperlink ref="D425" r:id="rId419" xr:uid="{00000000-0004-0000-0D00-0000A2010000}"/>
    <hyperlink ref="D426" r:id="rId420" xr:uid="{00000000-0004-0000-0D00-0000A3010000}"/>
    <hyperlink ref="D427" r:id="rId421" xr:uid="{00000000-0004-0000-0D00-0000A4010000}"/>
    <hyperlink ref="D428" r:id="rId422" xr:uid="{00000000-0004-0000-0D00-0000A5010000}"/>
    <hyperlink ref="D429" r:id="rId423" xr:uid="{00000000-0004-0000-0D00-0000A6010000}"/>
    <hyperlink ref="D430" r:id="rId424" xr:uid="{00000000-0004-0000-0D00-0000A7010000}"/>
    <hyperlink ref="D431" r:id="rId425" xr:uid="{00000000-0004-0000-0D00-0000A8010000}"/>
    <hyperlink ref="D432" r:id="rId426" xr:uid="{00000000-0004-0000-0D00-0000A9010000}"/>
    <hyperlink ref="D433" r:id="rId427" xr:uid="{00000000-0004-0000-0D00-0000AA010000}"/>
    <hyperlink ref="D434" r:id="rId428" xr:uid="{00000000-0004-0000-0D00-0000AB010000}"/>
    <hyperlink ref="D435" r:id="rId429" xr:uid="{00000000-0004-0000-0D00-0000AC010000}"/>
    <hyperlink ref="D436" r:id="rId430" xr:uid="{00000000-0004-0000-0D00-0000AD010000}"/>
    <hyperlink ref="D437" r:id="rId431" xr:uid="{00000000-0004-0000-0D00-0000AE010000}"/>
    <hyperlink ref="D438" r:id="rId432" xr:uid="{00000000-0004-0000-0D00-0000AF010000}"/>
    <hyperlink ref="D439" r:id="rId433" xr:uid="{00000000-0004-0000-0D00-0000B0010000}"/>
    <hyperlink ref="D440" r:id="rId434" xr:uid="{00000000-0004-0000-0D00-0000B1010000}"/>
    <hyperlink ref="D441" r:id="rId435" xr:uid="{00000000-0004-0000-0D00-0000B2010000}"/>
    <hyperlink ref="D442" r:id="rId436" xr:uid="{00000000-0004-0000-0D00-0000B3010000}"/>
    <hyperlink ref="D443" r:id="rId437" xr:uid="{00000000-0004-0000-0D00-0000B4010000}"/>
    <hyperlink ref="D444" r:id="rId438" xr:uid="{00000000-0004-0000-0D00-0000B5010000}"/>
    <hyperlink ref="D445" r:id="rId439" xr:uid="{00000000-0004-0000-0D00-0000B6010000}"/>
    <hyperlink ref="D446" r:id="rId440" xr:uid="{00000000-0004-0000-0D00-0000B7010000}"/>
    <hyperlink ref="D447" r:id="rId441" xr:uid="{00000000-0004-0000-0D00-0000B8010000}"/>
    <hyperlink ref="D448" r:id="rId442" xr:uid="{00000000-0004-0000-0D00-0000B9010000}"/>
    <hyperlink ref="D449" r:id="rId443" xr:uid="{00000000-0004-0000-0D00-0000BA010000}"/>
    <hyperlink ref="D450" r:id="rId444" xr:uid="{00000000-0004-0000-0D00-0000BB010000}"/>
    <hyperlink ref="D451" r:id="rId445" xr:uid="{00000000-0004-0000-0D00-0000BC010000}"/>
    <hyperlink ref="D452" r:id="rId446" xr:uid="{00000000-0004-0000-0D00-0000BD010000}"/>
    <hyperlink ref="D453" r:id="rId447" xr:uid="{00000000-0004-0000-0D00-0000BE010000}"/>
    <hyperlink ref="D454" r:id="rId448" xr:uid="{00000000-0004-0000-0D00-0000BF010000}"/>
    <hyperlink ref="D455" r:id="rId449" xr:uid="{00000000-0004-0000-0D00-0000C0010000}"/>
    <hyperlink ref="D456" r:id="rId450" xr:uid="{00000000-0004-0000-0D00-0000C1010000}"/>
    <hyperlink ref="D457" r:id="rId451" xr:uid="{00000000-0004-0000-0D00-0000C2010000}"/>
    <hyperlink ref="D458" r:id="rId452" xr:uid="{00000000-0004-0000-0D00-0000C3010000}"/>
    <hyperlink ref="D459" r:id="rId453" xr:uid="{00000000-0004-0000-0D00-0000C4010000}"/>
    <hyperlink ref="D460" r:id="rId454" xr:uid="{00000000-0004-0000-0D00-0000C5010000}"/>
    <hyperlink ref="D461" r:id="rId455" xr:uid="{00000000-0004-0000-0D00-0000C6010000}"/>
    <hyperlink ref="D462" r:id="rId456" xr:uid="{00000000-0004-0000-0D00-0000C7010000}"/>
    <hyperlink ref="D463" r:id="rId457" xr:uid="{00000000-0004-0000-0D00-0000C8010000}"/>
    <hyperlink ref="D464" r:id="rId458" xr:uid="{00000000-0004-0000-0D00-0000C9010000}"/>
    <hyperlink ref="D465" r:id="rId459" xr:uid="{00000000-0004-0000-0D00-0000CA010000}"/>
    <hyperlink ref="D466" r:id="rId460" xr:uid="{00000000-0004-0000-0D00-0000CB010000}"/>
    <hyperlink ref="D467" r:id="rId461" xr:uid="{00000000-0004-0000-0D00-0000CC010000}"/>
    <hyperlink ref="D468" r:id="rId462" xr:uid="{00000000-0004-0000-0D00-0000CD010000}"/>
    <hyperlink ref="D469" r:id="rId463" xr:uid="{00000000-0004-0000-0D00-0000CE010000}"/>
    <hyperlink ref="D470" r:id="rId464" xr:uid="{00000000-0004-0000-0D00-0000CF010000}"/>
    <hyperlink ref="D471" r:id="rId465" xr:uid="{00000000-0004-0000-0D00-0000D0010000}"/>
    <hyperlink ref="D472" r:id="rId466" xr:uid="{00000000-0004-0000-0D00-0000D1010000}"/>
    <hyperlink ref="D473" r:id="rId467" xr:uid="{00000000-0004-0000-0D00-0000D2010000}"/>
    <hyperlink ref="D474" r:id="rId468" xr:uid="{00000000-0004-0000-0D00-0000D3010000}"/>
    <hyperlink ref="D475" r:id="rId469" xr:uid="{00000000-0004-0000-0D00-0000D4010000}"/>
    <hyperlink ref="D476" r:id="rId470" xr:uid="{00000000-0004-0000-0D00-0000D5010000}"/>
    <hyperlink ref="D477" r:id="rId471" xr:uid="{00000000-0004-0000-0D00-0000D6010000}"/>
    <hyperlink ref="D478" r:id="rId472" xr:uid="{00000000-0004-0000-0D00-0000D7010000}"/>
    <hyperlink ref="D479" r:id="rId473" xr:uid="{00000000-0004-0000-0D00-0000D8010000}"/>
    <hyperlink ref="D480" r:id="rId474" xr:uid="{00000000-0004-0000-0D00-0000D9010000}"/>
    <hyperlink ref="D481" r:id="rId475" xr:uid="{00000000-0004-0000-0D00-0000DA010000}"/>
    <hyperlink ref="D482" r:id="rId476" xr:uid="{00000000-0004-0000-0D00-0000DB010000}"/>
    <hyperlink ref="D483" r:id="rId477" xr:uid="{00000000-0004-0000-0D00-0000DC010000}"/>
    <hyperlink ref="D484" r:id="rId478" xr:uid="{00000000-0004-0000-0D00-0000DD010000}"/>
    <hyperlink ref="D485" r:id="rId479" xr:uid="{00000000-0004-0000-0D00-0000DE010000}"/>
    <hyperlink ref="D486" r:id="rId480" xr:uid="{00000000-0004-0000-0D00-0000DF010000}"/>
    <hyperlink ref="D487" r:id="rId481" xr:uid="{00000000-0004-0000-0D00-0000E0010000}"/>
    <hyperlink ref="D488" r:id="rId482" xr:uid="{00000000-0004-0000-0D00-0000E1010000}"/>
    <hyperlink ref="D489" r:id="rId483" xr:uid="{00000000-0004-0000-0D00-0000E2010000}"/>
    <hyperlink ref="D490" r:id="rId484" xr:uid="{00000000-0004-0000-0D00-0000E3010000}"/>
    <hyperlink ref="D491" r:id="rId485" xr:uid="{00000000-0004-0000-0D00-0000E4010000}"/>
    <hyperlink ref="D492" r:id="rId486" xr:uid="{00000000-0004-0000-0D00-0000E5010000}"/>
    <hyperlink ref="D493" r:id="rId487" xr:uid="{00000000-0004-0000-0D00-0000E6010000}"/>
    <hyperlink ref="D494" r:id="rId488" xr:uid="{00000000-0004-0000-0D00-0000E7010000}"/>
    <hyperlink ref="D495" r:id="rId489" xr:uid="{00000000-0004-0000-0D00-0000E8010000}"/>
    <hyperlink ref="D496" r:id="rId490" xr:uid="{00000000-0004-0000-0D00-0000E9010000}"/>
    <hyperlink ref="D497" r:id="rId491" xr:uid="{00000000-0004-0000-0D00-0000EA010000}"/>
    <hyperlink ref="D498" r:id="rId492" xr:uid="{00000000-0004-0000-0D00-0000EB010000}"/>
    <hyperlink ref="D499" r:id="rId493" xr:uid="{00000000-0004-0000-0D00-0000EC010000}"/>
    <hyperlink ref="D500" r:id="rId494" xr:uid="{00000000-0004-0000-0D00-0000ED010000}"/>
    <hyperlink ref="D501" r:id="rId495" xr:uid="{00000000-0004-0000-0D00-0000EE010000}"/>
    <hyperlink ref="D503" r:id="rId496" xr:uid="{00000000-0004-0000-0D00-0000EF010000}"/>
    <hyperlink ref="D504" r:id="rId497" xr:uid="{00000000-0004-0000-0D00-0000F0010000}"/>
    <hyperlink ref="D505" r:id="rId498" xr:uid="{00000000-0004-0000-0D00-0000F1010000}"/>
    <hyperlink ref="D506" r:id="rId499" xr:uid="{00000000-0004-0000-0D00-0000F2010000}"/>
    <hyperlink ref="D507" r:id="rId500" xr:uid="{00000000-0004-0000-0D00-0000F3010000}"/>
    <hyperlink ref="D508" r:id="rId501" xr:uid="{00000000-0004-0000-0D00-0000F4010000}"/>
    <hyperlink ref="D509" r:id="rId502" xr:uid="{00000000-0004-0000-0D00-0000F5010000}"/>
    <hyperlink ref="D510" r:id="rId503" xr:uid="{00000000-0004-0000-0D00-0000F6010000}"/>
    <hyperlink ref="D511" r:id="rId504" xr:uid="{00000000-0004-0000-0D00-0000F7010000}"/>
    <hyperlink ref="D512" r:id="rId505" xr:uid="{00000000-0004-0000-0D00-0000F8010000}"/>
    <hyperlink ref="D513" r:id="rId506" xr:uid="{00000000-0004-0000-0D00-0000F9010000}"/>
    <hyperlink ref="D514" r:id="rId507" xr:uid="{00000000-0004-0000-0D00-0000FA010000}"/>
    <hyperlink ref="D515" r:id="rId508" xr:uid="{00000000-0004-0000-0D00-0000FB010000}"/>
    <hyperlink ref="D516" r:id="rId509" xr:uid="{00000000-0004-0000-0D00-0000FC010000}"/>
    <hyperlink ref="D517" r:id="rId510" xr:uid="{00000000-0004-0000-0D00-0000FD010000}"/>
    <hyperlink ref="D518" r:id="rId511" xr:uid="{00000000-0004-0000-0D00-0000FE010000}"/>
    <hyperlink ref="D519" r:id="rId512" xr:uid="{00000000-0004-0000-0D00-0000FF010000}"/>
    <hyperlink ref="D520" r:id="rId513" xr:uid="{00000000-0004-0000-0D00-000000020000}"/>
    <hyperlink ref="D521" r:id="rId514" xr:uid="{00000000-0004-0000-0D00-000001020000}"/>
    <hyperlink ref="D522" r:id="rId515" xr:uid="{00000000-0004-0000-0D00-000002020000}"/>
    <hyperlink ref="D523" r:id="rId516" xr:uid="{00000000-0004-0000-0D00-000003020000}"/>
    <hyperlink ref="D524" r:id="rId517" xr:uid="{00000000-0004-0000-0D00-000004020000}"/>
    <hyperlink ref="D525" r:id="rId518" xr:uid="{00000000-0004-0000-0D00-000005020000}"/>
    <hyperlink ref="D526" r:id="rId519" xr:uid="{00000000-0004-0000-0D00-000006020000}"/>
    <hyperlink ref="D527" r:id="rId520" xr:uid="{00000000-0004-0000-0D00-000007020000}"/>
    <hyperlink ref="D528" r:id="rId521" xr:uid="{00000000-0004-0000-0D00-000008020000}"/>
    <hyperlink ref="D529" r:id="rId522" xr:uid="{00000000-0004-0000-0D00-000009020000}"/>
    <hyperlink ref="D530" r:id="rId523" xr:uid="{00000000-0004-0000-0D00-00000A020000}"/>
    <hyperlink ref="D531" r:id="rId524" xr:uid="{00000000-0004-0000-0D00-00000B020000}"/>
    <hyperlink ref="D532" r:id="rId525" xr:uid="{00000000-0004-0000-0D00-00000C020000}"/>
    <hyperlink ref="D533" r:id="rId526" xr:uid="{00000000-0004-0000-0D00-00000D020000}"/>
    <hyperlink ref="D534" r:id="rId527" xr:uid="{00000000-0004-0000-0D00-00000E020000}"/>
    <hyperlink ref="D535" r:id="rId528" xr:uid="{00000000-0004-0000-0D00-00000F020000}"/>
    <hyperlink ref="D536" r:id="rId529" xr:uid="{00000000-0004-0000-0D00-000010020000}"/>
    <hyperlink ref="D537" r:id="rId530" xr:uid="{00000000-0004-0000-0D00-000011020000}"/>
    <hyperlink ref="D538" r:id="rId531" xr:uid="{00000000-0004-0000-0D00-000012020000}"/>
    <hyperlink ref="D539" r:id="rId532" xr:uid="{00000000-0004-0000-0D00-000013020000}"/>
    <hyperlink ref="D540" r:id="rId533" xr:uid="{00000000-0004-0000-0D00-000014020000}"/>
    <hyperlink ref="D541" r:id="rId534" xr:uid="{00000000-0004-0000-0D00-000015020000}"/>
    <hyperlink ref="D542" r:id="rId535" xr:uid="{00000000-0004-0000-0D00-000016020000}"/>
    <hyperlink ref="D543" r:id="rId536" xr:uid="{00000000-0004-0000-0D00-000017020000}"/>
    <hyperlink ref="D544" r:id="rId537" xr:uid="{00000000-0004-0000-0D00-000018020000}"/>
    <hyperlink ref="D545" r:id="rId538" xr:uid="{00000000-0004-0000-0D00-000019020000}"/>
    <hyperlink ref="D546" r:id="rId539" xr:uid="{00000000-0004-0000-0D00-00001A020000}"/>
    <hyperlink ref="D547" r:id="rId540" xr:uid="{00000000-0004-0000-0D00-00001B020000}"/>
    <hyperlink ref="D548" r:id="rId541" xr:uid="{00000000-0004-0000-0D00-00001C020000}"/>
    <hyperlink ref="D549" r:id="rId542" xr:uid="{00000000-0004-0000-0D00-00001D020000}"/>
    <hyperlink ref="D550" r:id="rId543" xr:uid="{00000000-0004-0000-0D00-00001E020000}"/>
    <hyperlink ref="D551" r:id="rId544" xr:uid="{00000000-0004-0000-0D00-00001F020000}"/>
    <hyperlink ref="D552" r:id="rId545" xr:uid="{00000000-0004-0000-0D00-000020020000}"/>
    <hyperlink ref="D553" r:id="rId546" xr:uid="{00000000-0004-0000-0D00-000021020000}"/>
    <hyperlink ref="D554" r:id="rId547" xr:uid="{00000000-0004-0000-0D00-000022020000}"/>
    <hyperlink ref="D555" r:id="rId548" xr:uid="{00000000-0004-0000-0D00-000023020000}"/>
    <hyperlink ref="D556" r:id="rId549" xr:uid="{00000000-0004-0000-0D00-000024020000}"/>
    <hyperlink ref="D557" r:id="rId550" xr:uid="{00000000-0004-0000-0D00-000025020000}"/>
    <hyperlink ref="D558" r:id="rId551" xr:uid="{00000000-0004-0000-0D00-000026020000}"/>
    <hyperlink ref="D559" r:id="rId552" xr:uid="{00000000-0004-0000-0D00-000027020000}"/>
    <hyperlink ref="D560" r:id="rId553" xr:uid="{00000000-0004-0000-0D00-000028020000}"/>
    <hyperlink ref="D561" r:id="rId554" xr:uid="{00000000-0004-0000-0D00-000029020000}"/>
    <hyperlink ref="D562" r:id="rId555" xr:uid="{00000000-0004-0000-0D00-00002A020000}"/>
    <hyperlink ref="D563" r:id="rId556" xr:uid="{00000000-0004-0000-0D00-00002B020000}"/>
    <hyperlink ref="D564" r:id="rId557" xr:uid="{00000000-0004-0000-0D00-00002C020000}"/>
    <hyperlink ref="D565" r:id="rId558" xr:uid="{00000000-0004-0000-0D00-00002D020000}"/>
    <hyperlink ref="D566" r:id="rId559" xr:uid="{00000000-0004-0000-0D00-00002E020000}"/>
    <hyperlink ref="D567" r:id="rId560" xr:uid="{00000000-0004-0000-0D00-00002F020000}"/>
    <hyperlink ref="D568" r:id="rId561" xr:uid="{00000000-0004-0000-0D00-000030020000}"/>
    <hyperlink ref="D569" r:id="rId562" xr:uid="{00000000-0004-0000-0D00-000031020000}"/>
    <hyperlink ref="D570" r:id="rId563" xr:uid="{00000000-0004-0000-0D00-000032020000}"/>
    <hyperlink ref="D571" r:id="rId564" xr:uid="{00000000-0004-0000-0D00-000033020000}"/>
    <hyperlink ref="D572" r:id="rId565" xr:uid="{00000000-0004-0000-0D00-000034020000}"/>
    <hyperlink ref="D573" r:id="rId566" xr:uid="{00000000-0004-0000-0D00-000035020000}"/>
    <hyperlink ref="D574" r:id="rId567" xr:uid="{00000000-0004-0000-0D00-000036020000}"/>
    <hyperlink ref="D575" r:id="rId568" xr:uid="{00000000-0004-0000-0D00-000037020000}"/>
    <hyperlink ref="D576" r:id="rId569" xr:uid="{00000000-0004-0000-0D00-000038020000}"/>
    <hyperlink ref="D577" r:id="rId570" xr:uid="{00000000-0004-0000-0D00-000039020000}"/>
    <hyperlink ref="D578" r:id="rId571" xr:uid="{00000000-0004-0000-0D00-00003A020000}"/>
    <hyperlink ref="D579" r:id="rId572" xr:uid="{00000000-0004-0000-0D00-00003B020000}"/>
    <hyperlink ref="D580" r:id="rId573" xr:uid="{00000000-0004-0000-0D00-00003C020000}"/>
    <hyperlink ref="D581" r:id="rId574" xr:uid="{00000000-0004-0000-0D00-00003D020000}"/>
    <hyperlink ref="D582" r:id="rId575" xr:uid="{00000000-0004-0000-0D00-00003E020000}"/>
    <hyperlink ref="D583" r:id="rId576" xr:uid="{00000000-0004-0000-0D00-00003F020000}"/>
    <hyperlink ref="D584" r:id="rId577" xr:uid="{00000000-0004-0000-0D00-000040020000}"/>
    <hyperlink ref="D585" r:id="rId578" xr:uid="{00000000-0004-0000-0D00-000041020000}"/>
    <hyperlink ref="D586" r:id="rId579" xr:uid="{00000000-0004-0000-0D00-000042020000}"/>
    <hyperlink ref="D587" r:id="rId580" xr:uid="{00000000-0004-0000-0D00-000043020000}"/>
    <hyperlink ref="D588" r:id="rId581" xr:uid="{00000000-0004-0000-0D00-000044020000}"/>
    <hyperlink ref="D589" r:id="rId582" xr:uid="{00000000-0004-0000-0D00-000045020000}"/>
    <hyperlink ref="D590" r:id="rId583" xr:uid="{00000000-0004-0000-0D00-000046020000}"/>
    <hyperlink ref="D591" r:id="rId584" xr:uid="{00000000-0004-0000-0D00-000047020000}"/>
    <hyperlink ref="D592" r:id="rId585" xr:uid="{00000000-0004-0000-0D00-000048020000}"/>
    <hyperlink ref="D593" r:id="rId586" xr:uid="{00000000-0004-0000-0D00-000049020000}"/>
    <hyperlink ref="D594" r:id="rId587" xr:uid="{00000000-0004-0000-0D00-00004A020000}"/>
    <hyperlink ref="D595" r:id="rId588" xr:uid="{00000000-0004-0000-0D00-00004B020000}"/>
    <hyperlink ref="D596" r:id="rId589" xr:uid="{00000000-0004-0000-0D00-00004C020000}"/>
    <hyperlink ref="D597" r:id="rId590" xr:uid="{00000000-0004-0000-0D00-00004D020000}"/>
    <hyperlink ref="D598" r:id="rId591" xr:uid="{00000000-0004-0000-0D00-00004E020000}"/>
    <hyperlink ref="D599" r:id="rId592" xr:uid="{00000000-0004-0000-0D00-00004F020000}"/>
    <hyperlink ref="D600" r:id="rId593" xr:uid="{00000000-0004-0000-0D00-000050020000}"/>
    <hyperlink ref="D601" r:id="rId594" xr:uid="{00000000-0004-0000-0D00-000051020000}"/>
    <hyperlink ref="D602" r:id="rId595" xr:uid="{00000000-0004-0000-0D00-000052020000}"/>
    <hyperlink ref="D603" r:id="rId596" xr:uid="{00000000-0004-0000-0D00-000053020000}"/>
    <hyperlink ref="D604" r:id="rId597" xr:uid="{00000000-0004-0000-0D00-000054020000}"/>
    <hyperlink ref="D605" r:id="rId598" xr:uid="{00000000-0004-0000-0D00-000055020000}"/>
    <hyperlink ref="D606" r:id="rId599" xr:uid="{00000000-0004-0000-0D00-000056020000}"/>
    <hyperlink ref="D607" r:id="rId600" xr:uid="{00000000-0004-0000-0D00-000057020000}"/>
    <hyperlink ref="D608" r:id="rId601" xr:uid="{00000000-0004-0000-0D00-000058020000}"/>
    <hyperlink ref="D609" r:id="rId602" xr:uid="{00000000-0004-0000-0D00-000059020000}"/>
  </hyperlinks>
  <pageMargins left="0.75" right="0.75" top="1" bottom="1" header="0.5" footer="0.5"/>
  <pageSetup fitToHeight="0"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F87"/>
  <sheetViews>
    <sheetView showGridLines="0" workbookViewId="0">
      <pane xSplit="2" ySplit="5" topLeftCell="C6" activePane="bottomRight" state="frozen"/>
      <selection pane="topRight"/>
      <selection pane="bottomLeft"/>
      <selection pane="bottomRight"/>
    </sheetView>
  </sheetViews>
  <sheetFormatPr defaultRowHeight="16.5" x14ac:dyDescent="0.3"/>
  <cols>
    <col min="1" max="1" width="14" customWidth="1"/>
    <col min="2" max="2" width="16" customWidth="1"/>
    <col min="3" max="3" width="34" customWidth="1"/>
    <col min="4" max="4" width="70" customWidth="1"/>
    <col min="5" max="5" width="10" customWidth="1"/>
    <col min="6" max="6" width="16" customWidth="1"/>
  </cols>
  <sheetData>
    <row r="1" spans="1:6" ht="30" customHeight="1" x14ac:dyDescent="0.3">
      <c r="A1" s="1" t="s">
        <v>5281</v>
      </c>
    </row>
    <row r="2" spans="1:6" ht="33.950000000000003" customHeight="1" x14ac:dyDescent="0.3">
      <c r="A2" s="10" t="s">
        <v>5282</v>
      </c>
      <c r="B2" s="11"/>
      <c r="C2" s="11"/>
      <c r="D2" s="11"/>
      <c r="E2" s="11"/>
      <c r="F2" s="11"/>
    </row>
    <row r="3" spans="1:6" x14ac:dyDescent="0.3">
      <c r="A3" s="2" t="s">
        <v>2</v>
      </c>
    </row>
    <row r="5" spans="1:6" ht="26.1" customHeight="1" x14ac:dyDescent="0.3">
      <c r="A5" s="3" t="s">
        <v>4229</v>
      </c>
      <c r="B5" s="3" t="s">
        <v>5283</v>
      </c>
      <c r="C5" s="3" t="s">
        <v>5284</v>
      </c>
      <c r="D5" s="3" t="s">
        <v>5285</v>
      </c>
      <c r="E5" s="3" t="s">
        <v>1616</v>
      </c>
      <c r="F5" s="3" t="s">
        <v>5286</v>
      </c>
    </row>
    <row r="6" spans="1:6" x14ac:dyDescent="0.3">
      <c r="A6" s="7" t="s">
        <v>5287</v>
      </c>
      <c r="B6" s="5" t="s">
        <v>374</v>
      </c>
      <c r="C6" s="5" t="s">
        <v>5288</v>
      </c>
      <c r="D6" s="5" t="s">
        <v>5289</v>
      </c>
      <c r="E6" s="7"/>
      <c r="F6" s="7" t="s">
        <v>5290</v>
      </c>
    </row>
    <row r="7" spans="1:6" x14ac:dyDescent="0.3">
      <c r="A7" s="6" t="s">
        <v>1509</v>
      </c>
      <c r="B7" s="4" t="s">
        <v>5291</v>
      </c>
      <c r="C7" s="4" t="s">
        <v>5292</v>
      </c>
      <c r="D7" s="4" t="s">
        <v>5293</v>
      </c>
      <c r="E7" s="6"/>
      <c r="F7" s="6" t="s">
        <v>4242</v>
      </c>
    </row>
    <row r="8" spans="1:6" x14ac:dyDescent="0.3">
      <c r="A8" s="6" t="s">
        <v>1509</v>
      </c>
      <c r="B8" s="4" t="s">
        <v>5294</v>
      </c>
      <c r="C8" s="4" t="s">
        <v>5295</v>
      </c>
      <c r="D8" s="4" t="s">
        <v>5296</v>
      </c>
      <c r="E8" s="6"/>
      <c r="F8" s="6" t="s">
        <v>4242</v>
      </c>
    </row>
    <row r="9" spans="1:6" x14ac:dyDescent="0.3">
      <c r="A9" s="6" t="s">
        <v>1509</v>
      </c>
      <c r="B9" s="4" t="s">
        <v>5297</v>
      </c>
      <c r="C9" s="4" t="s">
        <v>5298</v>
      </c>
      <c r="D9" s="4" t="s">
        <v>5299</v>
      </c>
      <c r="E9" s="6"/>
      <c r="F9" s="6" t="s">
        <v>4245</v>
      </c>
    </row>
    <row r="10" spans="1:6" x14ac:dyDescent="0.3">
      <c r="A10" s="6" t="s">
        <v>1509</v>
      </c>
      <c r="B10" s="4" t="s">
        <v>5300</v>
      </c>
      <c r="C10" s="4" t="s">
        <v>478</v>
      </c>
      <c r="D10" s="4" t="s">
        <v>5301</v>
      </c>
      <c r="E10" s="6"/>
      <c r="F10" s="6" t="s">
        <v>4242</v>
      </c>
    </row>
    <row r="11" spans="1:6" x14ac:dyDescent="0.3">
      <c r="A11" s="6" t="s">
        <v>1509</v>
      </c>
      <c r="B11" s="4" t="s">
        <v>5302</v>
      </c>
      <c r="C11" s="4" t="s">
        <v>1051</v>
      </c>
      <c r="D11" s="4" t="s">
        <v>5303</v>
      </c>
      <c r="E11" s="6"/>
      <c r="F11" s="6" t="s">
        <v>4242</v>
      </c>
    </row>
    <row r="12" spans="1:6" x14ac:dyDescent="0.3">
      <c r="A12" s="6" t="s">
        <v>1509</v>
      </c>
      <c r="B12" s="4" t="s">
        <v>5304</v>
      </c>
      <c r="C12" s="4" t="s">
        <v>1061</v>
      </c>
      <c r="D12" s="4" t="s">
        <v>5305</v>
      </c>
      <c r="E12" s="6"/>
      <c r="F12" s="6" t="s">
        <v>4240</v>
      </c>
    </row>
    <row r="13" spans="1:6" ht="25.5" x14ac:dyDescent="0.3">
      <c r="A13" s="6" t="s">
        <v>1509</v>
      </c>
      <c r="B13" s="4" t="s">
        <v>5306</v>
      </c>
      <c r="C13" s="4" t="s">
        <v>5307</v>
      </c>
      <c r="D13" s="4" t="s">
        <v>5308</v>
      </c>
      <c r="E13" s="6"/>
      <c r="F13" s="6" t="s">
        <v>4245</v>
      </c>
    </row>
    <row r="14" spans="1:6" x14ac:dyDescent="0.3">
      <c r="A14" s="6" t="s">
        <v>1509</v>
      </c>
      <c r="B14" s="4" t="s">
        <v>5309</v>
      </c>
      <c r="C14" s="4" t="s">
        <v>5310</v>
      </c>
      <c r="D14" s="4" t="s">
        <v>5311</v>
      </c>
      <c r="E14" s="6"/>
      <c r="F14" s="6" t="s">
        <v>4245</v>
      </c>
    </row>
    <row r="15" spans="1:6" ht="25.5" x14ac:dyDescent="0.3">
      <c r="A15" s="6" t="s">
        <v>1509</v>
      </c>
      <c r="B15" s="4" t="s">
        <v>5312</v>
      </c>
      <c r="C15" s="4" t="s">
        <v>1091</v>
      </c>
      <c r="D15" s="4" t="s">
        <v>5313</v>
      </c>
      <c r="E15" s="6"/>
      <c r="F15" s="6" t="s">
        <v>4245</v>
      </c>
    </row>
    <row r="16" spans="1:6" x14ac:dyDescent="0.3">
      <c r="A16" s="6" t="s">
        <v>1509</v>
      </c>
      <c r="B16" s="4" t="s">
        <v>5314</v>
      </c>
      <c r="C16" s="4" t="s">
        <v>5315</v>
      </c>
      <c r="D16" s="4" t="s">
        <v>5316</v>
      </c>
      <c r="E16" s="6"/>
      <c r="F16" s="6" t="s">
        <v>4245</v>
      </c>
    </row>
    <row r="17" spans="1:6" x14ac:dyDescent="0.3">
      <c r="A17" s="6" t="s">
        <v>1509</v>
      </c>
      <c r="B17" s="4" t="s">
        <v>5317</v>
      </c>
      <c r="C17" s="4" t="s">
        <v>1020</v>
      </c>
      <c r="D17" s="4" t="s">
        <v>5318</v>
      </c>
      <c r="E17" s="6"/>
      <c r="F17" s="6" t="s">
        <v>4242</v>
      </c>
    </row>
    <row r="18" spans="1:6" x14ac:dyDescent="0.3">
      <c r="A18" s="6" t="s">
        <v>1509</v>
      </c>
      <c r="B18" s="4" t="s">
        <v>5319</v>
      </c>
      <c r="C18" s="4" t="s">
        <v>5320</v>
      </c>
      <c r="D18" s="4" t="s">
        <v>5321</v>
      </c>
      <c r="E18" s="6"/>
      <c r="F18" s="6" t="s">
        <v>4242</v>
      </c>
    </row>
    <row r="19" spans="1:6" x14ac:dyDescent="0.3">
      <c r="A19" s="6" t="s">
        <v>1509</v>
      </c>
      <c r="B19" s="4" t="s">
        <v>5322</v>
      </c>
      <c r="C19" s="4" t="s">
        <v>5323</v>
      </c>
      <c r="D19" s="4" t="s">
        <v>5324</v>
      </c>
      <c r="E19" s="6"/>
      <c r="F19" s="6" t="s">
        <v>4242</v>
      </c>
    </row>
    <row r="20" spans="1:6" x14ac:dyDescent="0.3">
      <c r="A20" s="6" t="s">
        <v>1509</v>
      </c>
      <c r="B20" s="4" t="s">
        <v>5325</v>
      </c>
      <c r="C20" s="4" t="s">
        <v>997</v>
      </c>
      <c r="D20" s="4" t="s">
        <v>5326</v>
      </c>
      <c r="E20" s="6"/>
      <c r="F20" s="6" t="s">
        <v>4240</v>
      </c>
    </row>
    <row r="21" spans="1:6" x14ac:dyDescent="0.3">
      <c r="A21" s="6" t="s">
        <v>1509</v>
      </c>
      <c r="B21" s="4" t="s">
        <v>5327</v>
      </c>
      <c r="C21" s="4" t="s">
        <v>5328</v>
      </c>
      <c r="D21" s="4" t="s">
        <v>5329</v>
      </c>
      <c r="E21" s="6"/>
      <c r="F21" s="6" t="s">
        <v>4240</v>
      </c>
    </row>
    <row r="22" spans="1:6" x14ac:dyDescent="0.3">
      <c r="A22" s="6" t="s">
        <v>1509</v>
      </c>
      <c r="B22" s="4" t="s">
        <v>5330</v>
      </c>
      <c r="C22" s="4" t="s">
        <v>1002</v>
      </c>
      <c r="D22" s="4" t="s">
        <v>5331</v>
      </c>
      <c r="E22" s="6"/>
      <c r="F22" s="6" t="s">
        <v>4240</v>
      </c>
    </row>
    <row r="23" spans="1:6" x14ac:dyDescent="0.3">
      <c r="A23" s="6" t="s">
        <v>1509</v>
      </c>
      <c r="B23" s="4" t="s">
        <v>5332</v>
      </c>
      <c r="C23" s="4" t="s">
        <v>1100</v>
      </c>
      <c r="D23" s="4" t="s">
        <v>5333</v>
      </c>
      <c r="E23" s="6"/>
      <c r="F23" s="6" t="s">
        <v>4245</v>
      </c>
    </row>
    <row r="24" spans="1:6" x14ac:dyDescent="0.3">
      <c r="A24" s="7" t="s">
        <v>5334</v>
      </c>
      <c r="B24" s="5" t="s">
        <v>5335</v>
      </c>
      <c r="C24" s="5" t="s">
        <v>5336</v>
      </c>
      <c r="D24" s="5" t="s">
        <v>5337</v>
      </c>
      <c r="E24" s="7" t="s">
        <v>1616</v>
      </c>
      <c r="F24" s="7" t="s">
        <v>5338</v>
      </c>
    </row>
    <row r="25" spans="1:6" x14ac:dyDescent="0.3">
      <c r="A25" s="6" t="s">
        <v>5339</v>
      </c>
      <c r="B25" s="4" t="s">
        <v>5340</v>
      </c>
      <c r="C25" s="4" t="s">
        <v>5341</v>
      </c>
      <c r="D25" s="4" t="s">
        <v>5302</v>
      </c>
      <c r="E25" s="6" t="s">
        <v>1007</v>
      </c>
      <c r="F25" s="6" t="s">
        <v>5342</v>
      </c>
    </row>
    <row r="26" spans="1:6" x14ac:dyDescent="0.3">
      <c r="A26" s="6" t="s">
        <v>5339</v>
      </c>
      <c r="B26" s="4" t="s">
        <v>5343</v>
      </c>
      <c r="C26" s="4" t="s">
        <v>5344</v>
      </c>
      <c r="D26" s="4" t="s">
        <v>5345</v>
      </c>
      <c r="E26" s="6" t="s">
        <v>1007</v>
      </c>
      <c r="F26" s="6" t="s">
        <v>5342</v>
      </c>
    </row>
    <row r="27" spans="1:6" x14ac:dyDescent="0.3">
      <c r="A27" s="6" t="s">
        <v>5339</v>
      </c>
      <c r="B27" s="4" t="s">
        <v>5346</v>
      </c>
      <c r="C27" s="4" t="s">
        <v>5347</v>
      </c>
      <c r="D27" s="4" t="s">
        <v>5314</v>
      </c>
      <c r="E27" s="6" t="s">
        <v>1007</v>
      </c>
      <c r="F27" s="6" t="s">
        <v>5342</v>
      </c>
    </row>
    <row r="28" spans="1:6" x14ac:dyDescent="0.3">
      <c r="A28" s="6" t="s">
        <v>5339</v>
      </c>
      <c r="B28" s="4" t="s">
        <v>5348</v>
      </c>
      <c r="C28" s="4" t="s">
        <v>5349</v>
      </c>
      <c r="D28" s="4" t="s">
        <v>5304</v>
      </c>
      <c r="E28" s="6" t="s">
        <v>1007</v>
      </c>
      <c r="F28" s="6" t="s">
        <v>5342</v>
      </c>
    </row>
    <row r="29" spans="1:6" x14ac:dyDescent="0.3">
      <c r="A29" s="6" t="s">
        <v>5339</v>
      </c>
      <c r="B29" s="4" t="s">
        <v>5350</v>
      </c>
      <c r="C29" s="4" t="s">
        <v>5351</v>
      </c>
      <c r="D29" s="4" t="s">
        <v>5352</v>
      </c>
      <c r="E29" s="6" t="s">
        <v>1007</v>
      </c>
      <c r="F29" s="6" t="s">
        <v>5342</v>
      </c>
    </row>
    <row r="30" spans="1:6" x14ac:dyDescent="0.3">
      <c r="A30" s="6" t="s">
        <v>5339</v>
      </c>
      <c r="B30" s="4" t="s">
        <v>5353</v>
      </c>
      <c r="C30" s="4" t="s">
        <v>5351</v>
      </c>
      <c r="D30" s="4" t="s">
        <v>5354</v>
      </c>
      <c r="E30" s="6" t="s">
        <v>1007</v>
      </c>
      <c r="F30" s="6" t="s">
        <v>5342</v>
      </c>
    </row>
    <row r="31" spans="1:6" x14ac:dyDescent="0.3">
      <c r="A31" s="6" t="s">
        <v>5339</v>
      </c>
      <c r="B31" s="4" t="s">
        <v>5355</v>
      </c>
      <c r="C31" s="4" t="s">
        <v>5356</v>
      </c>
      <c r="D31" s="4" t="s">
        <v>5357</v>
      </c>
      <c r="E31" s="6" t="s">
        <v>398</v>
      </c>
      <c r="F31" s="6" t="s">
        <v>5342</v>
      </c>
    </row>
    <row r="32" spans="1:6" x14ac:dyDescent="0.3">
      <c r="A32" s="6" t="s">
        <v>5339</v>
      </c>
      <c r="B32" s="4" t="s">
        <v>5358</v>
      </c>
      <c r="C32" s="4" t="s">
        <v>5359</v>
      </c>
      <c r="D32" s="4" t="s">
        <v>5317</v>
      </c>
      <c r="E32" s="6" t="s">
        <v>398</v>
      </c>
      <c r="F32" s="6" t="s">
        <v>5342</v>
      </c>
    </row>
    <row r="33" spans="1:6" x14ac:dyDescent="0.3">
      <c r="A33" s="6" t="s">
        <v>5339</v>
      </c>
      <c r="B33" s="4" t="s">
        <v>5360</v>
      </c>
      <c r="C33" s="4" t="s">
        <v>5361</v>
      </c>
      <c r="D33" s="4" t="s">
        <v>5317</v>
      </c>
      <c r="E33" s="6" t="s">
        <v>398</v>
      </c>
      <c r="F33" s="6" t="s">
        <v>5342</v>
      </c>
    </row>
    <row r="34" spans="1:6" x14ac:dyDescent="0.3">
      <c r="A34" s="6" t="s">
        <v>5339</v>
      </c>
      <c r="B34" s="4" t="s">
        <v>5362</v>
      </c>
      <c r="C34" s="4" t="s">
        <v>5363</v>
      </c>
      <c r="D34" s="4" t="s">
        <v>5317</v>
      </c>
      <c r="E34" s="6" t="s">
        <v>398</v>
      </c>
      <c r="F34" s="6" t="s">
        <v>5342</v>
      </c>
    </row>
    <row r="35" spans="1:6" x14ac:dyDescent="0.3">
      <c r="A35" s="7" t="s">
        <v>5364</v>
      </c>
      <c r="B35" s="5" t="s">
        <v>5335</v>
      </c>
      <c r="C35" s="5" t="s">
        <v>5336</v>
      </c>
      <c r="D35" s="5" t="s">
        <v>5337</v>
      </c>
      <c r="E35" s="7" t="s">
        <v>1616</v>
      </c>
      <c r="F35" s="7" t="s">
        <v>5365</v>
      </c>
    </row>
    <row r="36" spans="1:6" x14ac:dyDescent="0.3">
      <c r="A36" s="6" t="s">
        <v>5366</v>
      </c>
      <c r="B36" s="4" t="s">
        <v>5367</v>
      </c>
      <c r="C36" s="4" t="s">
        <v>5368</v>
      </c>
      <c r="D36" s="4" t="s">
        <v>5369</v>
      </c>
      <c r="E36" s="6" t="s">
        <v>1007</v>
      </c>
      <c r="F36" s="6" t="s">
        <v>5370</v>
      </c>
    </row>
    <row r="37" spans="1:6" x14ac:dyDescent="0.3">
      <c r="A37" s="6" t="s">
        <v>5366</v>
      </c>
      <c r="B37" s="4" t="s">
        <v>5371</v>
      </c>
      <c r="C37" s="4" t="s">
        <v>5372</v>
      </c>
      <c r="D37" s="4" t="s">
        <v>5373</v>
      </c>
      <c r="E37" s="6" t="s">
        <v>999</v>
      </c>
      <c r="F37" s="6" t="s">
        <v>5370</v>
      </c>
    </row>
    <row r="38" spans="1:6" x14ac:dyDescent="0.3">
      <c r="A38" s="6" t="s">
        <v>5366</v>
      </c>
      <c r="B38" s="4" t="s">
        <v>5374</v>
      </c>
      <c r="C38" s="4" t="s">
        <v>5375</v>
      </c>
      <c r="D38" s="4" t="s">
        <v>5376</v>
      </c>
      <c r="E38" s="6" t="s">
        <v>1014</v>
      </c>
      <c r="F38" s="6" t="s">
        <v>5370</v>
      </c>
    </row>
    <row r="39" spans="1:6" x14ac:dyDescent="0.3">
      <c r="A39" s="6" t="s">
        <v>5366</v>
      </c>
      <c r="B39" s="4" t="s">
        <v>5374</v>
      </c>
      <c r="C39" s="4" t="s">
        <v>5375</v>
      </c>
      <c r="D39" s="4" t="s">
        <v>5377</v>
      </c>
      <c r="E39" s="6" t="s">
        <v>1014</v>
      </c>
      <c r="F39" s="6" t="s">
        <v>5370</v>
      </c>
    </row>
    <row r="40" spans="1:6" x14ac:dyDescent="0.3">
      <c r="A40" s="6" t="s">
        <v>5366</v>
      </c>
      <c r="B40" s="4" t="s">
        <v>5374</v>
      </c>
      <c r="C40" s="4" t="s">
        <v>5375</v>
      </c>
      <c r="D40" s="4" t="s">
        <v>5378</v>
      </c>
      <c r="E40" s="6" t="s">
        <v>1014</v>
      </c>
      <c r="F40" s="6" t="s">
        <v>5370</v>
      </c>
    </row>
    <row r="41" spans="1:6" x14ac:dyDescent="0.3">
      <c r="A41" s="6" t="s">
        <v>5366</v>
      </c>
      <c r="B41" s="4" t="s">
        <v>5379</v>
      </c>
      <c r="C41" s="4" t="s">
        <v>5380</v>
      </c>
      <c r="D41" s="4" t="s">
        <v>5381</v>
      </c>
      <c r="E41" s="6" t="s">
        <v>1007</v>
      </c>
      <c r="F41" s="6" t="s">
        <v>5370</v>
      </c>
    </row>
    <row r="42" spans="1:6" x14ac:dyDescent="0.3">
      <c r="A42" s="6" t="s">
        <v>5366</v>
      </c>
      <c r="B42" s="4" t="s">
        <v>5382</v>
      </c>
      <c r="C42" s="4" t="s">
        <v>5380</v>
      </c>
      <c r="D42" s="4" t="s">
        <v>5383</v>
      </c>
      <c r="E42" s="6" t="s">
        <v>398</v>
      </c>
      <c r="F42" s="6" t="s">
        <v>5370</v>
      </c>
    </row>
    <row r="43" spans="1:6" x14ac:dyDescent="0.3">
      <c r="A43" s="6" t="s">
        <v>5366</v>
      </c>
      <c r="B43" s="4" t="s">
        <v>5384</v>
      </c>
      <c r="C43" s="4" t="s">
        <v>5380</v>
      </c>
      <c r="D43" s="4" t="s">
        <v>5385</v>
      </c>
      <c r="E43" s="6" t="s">
        <v>398</v>
      </c>
      <c r="F43" s="6" t="s">
        <v>5370</v>
      </c>
    </row>
    <row r="44" spans="1:6" x14ac:dyDescent="0.3">
      <c r="A44" s="6" t="s">
        <v>5366</v>
      </c>
      <c r="B44" s="4" t="s">
        <v>5386</v>
      </c>
      <c r="C44" s="4" t="s">
        <v>5380</v>
      </c>
      <c r="D44" s="4" t="s">
        <v>5387</v>
      </c>
      <c r="E44" s="6" t="s">
        <v>398</v>
      </c>
      <c r="F44" s="6" t="s">
        <v>5370</v>
      </c>
    </row>
    <row r="45" spans="1:6" x14ac:dyDescent="0.3">
      <c r="A45" s="6" t="s">
        <v>5366</v>
      </c>
      <c r="B45" s="4" t="s">
        <v>5388</v>
      </c>
      <c r="C45" s="4" t="s">
        <v>5389</v>
      </c>
      <c r="D45" s="4" t="s">
        <v>5390</v>
      </c>
      <c r="E45" s="6" t="s">
        <v>999</v>
      </c>
      <c r="F45" s="6" t="s">
        <v>5370</v>
      </c>
    </row>
    <row r="46" spans="1:6" x14ac:dyDescent="0.3">
      <c r="A46" s="6" t="s">
        <v>5366</v>
      </c>
      <c r="B46" s="4" t="s">
        <v>5391</v>
      </c>
      <c r="C46" s="4" t="s">
        <v>5392</v>
      </c>
      <c r="D46" s="4" t="s">
        <v>5393</v>
      </c>
      <c r="E46" s="6" t="s">
        <v>1007</v>
      </c>
      <c r="F46" s="6" t="s">
        <v>5370</v>
      </c>
    </row>
    <row r="47" spans="1:6" x14ac:dyDescent="0.3">
      <c r="A47" s="6" t="s">
        <v>5366</v>
      </c>
      <c r="B47" s="4" t="s">
        <v>5394</v>
      </c>
      <c r="C47" s="4" t="s">
        <v>5395</v>
      </c>
      <c r="D47" s="4" t="s">
        <v>5302</v>
      </c>
      <c r="E47" s="6" t="s">
        <v>1007</v>
      </c>
      <c r="F47" s="6" t="s">
        <v>5370</v>
      </c>
    </row>
    <row r="48" spans="1:6" x14ac:dyDescent="0.3">
      <c r="A48" s="6" t="s">
        <v>5366</v>
      </c>
      <c r="B48" s="4" t="s">
        <v>5396</v>
      </c>
      <c r="C48" s="4" t="s">
        <v>5397</v>
      </c>
      <c r="D48" s="4" t="s">
        <v>5302</v>
      </c>
      <c r="E48" s="6" t="s">
        <v>1007</v>
      </c>
      <c r="F48" s="6" t="s">
        <v>5370</v>
      </c>
    </row>
    <row r="49" spans="1:6" x14ac:dyDescent="0.3">
      <c r="A49" s="6" t="s">
        <v>5366</v>
      </c>
      <c r="B49" s="4" t="s">
        <v>5398</v>
      </c>
      <c r="C49" s="4" t="s">
        <v>5399</v>
      </c>
      <c r="D49" s="4" t="s">
        <v>5302</v>
      </c>
      <c r="E49" s="6" t="s">
        <v>1007</v>
      </c>
      <c r="F49" s="6" t="s">
        <v>5370</v>
      </c>
    </row>
    <row r="50" spans="1:6" x14ac:dyDescent="0.3">
      <c r="A50" s="6" t="s">
        <v>5366</v>
      </c>
      <c r="B50" s="4" t="s">
        <v>5400</v>
      </c>
      <c r="C50" s="4" t="s">
        <v>5401</v>
      </c>
      <c r="D50" s="4" t="s">
        <v>5317</v>
      </c>
      <c r="E50" s="6" t="s">
        <v>398</v>
      </c>
      <c r="F50" s="6" t="s">
        <v>5370</v>
      </c>
    </row>
    <row r="51" spans="1:6" x14ac:dyDescent="0.3">
      <c r="A51" s="6" t="s">
        <v>5366</v>
      </c>
      <c r="B51" s="4" t="s">
        <v>5402</v>
      </c>
      <c r="C51" s="4" t="s">
        <v>5403</v>
      </c>
      <c r="D51" s="4" t="s">
        <v>5378</v>
      </c>
      <c r="E51" s="6" t="s">
        <v>398</v>
      </c>
      <c r="F51" s="6" t="s">
        <v>5370</v>
      </c>
    </row>
    <row r="52" spans="1:6" x14ac:dyDescent="0.3">
      <c r="A52" s="6" t="s">
        <v>5366</v>
      </c>
      <c r="B52" s="4" t="s">
        <v>5402</v>
      </c>
      <c r="C52" s="4" t="s">
        <v>5404</v>
      </c>
      <c r="D52" s="4" t="s">
        <v>5330</v>
      </c>
      <c r="E52" s="6" t="s">
        <v>1007</v>
      </c>
      <c r="F52" s="6" t="s">
        <v>5370</v>
      </c>
    </row>
    <row r="53" spans="1:6" x14ac:dyDescent="0.3">
      <c r="A53" s="6" t="s">
        <v>5366</v>
      </c>
      <c r="B53" s="4" t="s">
        <v>5405</v>
      </c>
      <c r="C53" s="4" t="s">
        <v>5406</v>
      </c>
      <c r="D53" s="4" t="s">
        <v>5407</v>
      </c>
      <c r="E53" s="6" t="s">
        <v>365</v>
      </c>
      <c r="F53" s="6" t="s">
        <v>5370</v>
      </c>
    </row>
    <row r="54" spans="1:6" x14ac:dyDescent="0.3">
      <c r="A54" s="6" t="s">
        <v>5366</v>
      </c>
      <c r="B54" s="4" t="s">
        <v>5408</v>
      </c>
      <c r="C54" s="4" t="s">
        <v>5409</v>
      </c>
      <c r="D54" s="4" t="s">
        <v>5410</v>
      </c>
      <c r="E54" s="6" t="s">
        <v>398</v>
      </c>
      <c r="F54" s="6" t="s">
        <v>5370</v>
      </c>
    </row>
    <row r="55" spans="1:6" x14ac:dyDescent="0.3">
      <c r="A55" s="6" t="s">
        <v>5366</v>
      </c>
      <c r="B55" s="4" t="s">
        <v>5411</v>
      </c>
      <c r="C55" s="4" t="s">
        <v>5409</v>
      </c>
      <c r="D55" s="4" t="s">
        <v>5412</v>
      </c>
      <c r="E55" s="6" t="s">
        <v>398</v>
      </c>
      <c r="F55" s="6" t="s">
        <v>5370</v>
      </c>
    </row>
    <row r="56" spans="1:6" x14ac:dyDescent="0.3">
      <c r="A56" s="6" t="s">
        <v>5366</v>
      </c>
      <c r="B56" s="4" t="s">
        <v>5413</v>
      </c>
      <c r="C56" s="4" t="s">
        <v>5414</v>
      </c>
      <c r="D56" s="4" t="s">
        <v>5302</v>
      </c>
      <c r="E56" s="6" t="s">
        <v>1007</v>
      </c>
      <c r="F56" s="6" t="s">
        <v>5370</v>
      </c>
    </row>
    <row r="57" spans="1:6" x14ac:dyDescent="0.3">
      <c r="A57" s="6" t="s">
        <v>5366</v>
      </c>
      <c r="B57" s="4" t="s">
        <v>5415</v>
      </c>
      <c r="C57" s="4" t="s">
        <v>5416</v>
      </c>
      <c r="D57" s="4" t="s">
        <v>5302</v>
      </c>
      <c r="E57" s="6" t="s">
        <v>1007</v>
      </c>
      <c r="F57" s="6" t="s">
        <v>5370</v>
      </c>
    </row>
    <row r="58" spans="1:6" x14ac:dyDescent="0.3">
      <c r="A58" s="6" t="s">
        <v>5366</v>
      </c>
      <c r="B58" s="4" t="s">
        <v>5417</v>
      </c>
      <c r="C58" s="4" t="s">
        <v>5418</v>
      </c>
      <c r="D58" s="4" t="s">
        <v>5330</v>
      </c>
      <c r="E58" s="6" t="s">
        <v>398</v>
      </c>
      <c r="F58" s="6" t="s">
        <v>5370</v>
      </c>
    </row>
    <row r="59" spans="1:6" x14ac:dyDescent="0.3">
      <c r="A59" s="6" t="s">
        <v>5366</v>
      </c>
      <c r="B59" s="4" t="s">
        <v>5419</v>
      </c>
      <c r="C59" s="4" t="s">
        <v>5420</v>
      </c>
      <c r="D59" s="4" t="s">
        <v>5332</v>
      </c>
      <c r="E59" s="6" t="s">
        <v>1007</v>
      </c>
      <c r="F59" s="6" t="s">
        <v>5370</v>
      </c>
    </row>
    <row r="60" spans="1:6" x14ac:dyDescent="0.3">
      <c r="A60" s="6" t="s">
        <v>5366</v>
      </c>
      <c r="B60" s="4" t="s">
        <v>5421</v>
      </c>
      <c r="C60" s="4" t="s">
        <v>5422</v>
      </c>
      <c r="D60" s="4" t="s">
        <v>5332</v>
      </c>
      <c r="E60" s="6" t="s">
        <v>1014</v>
      </c>
      <c r="F60" s="6" t="s">
        <v>5370</v>
      </c>
    </row>
    <row r="61" spans="1:6" x14ac:dyDescent="0.3">
      <c r="A61" s="6" t="s">
        <v>5366</v>
      </c>
      <c r="B61" s="4" t="s">
        <v>5423</v>
      </c>
      <c r="C61" s="4" t="s">
        <v>5424</v>
      </c>
      <c r="D61" s="4" t="s">
        <v>5425</v>
      </c>
      <c r="E61" s="6" t="s">
        <v>1007</v>
      </c>
      <c r="F61" s="6" t="s">
        <v>5370</v>
      </c>
    </row>
    <row r="62" spans="1:6" x14ac:dyDescent="0.3">
      <c r="A62" s="6" t="s">
        <v>5366</v>
      </c>
      <c r="B62" s="4" t="s">
        <v>5426</v>
      </c>
      <c r="C62" s="4" t="s">
        <v>5427</v>
      </c>
      <c r="D62" s="4" t="s">
        <v>5428</v>
      </c>
      <c r="E62" s="6" t="s">
        <v>398</v>
      </c>
      <c r="F62" s="6" t="s">
        <v>5370</v>
      </c>
    </row>
    <row r="63" spans="1:6" x14ac:dyDescent="0.3">
      <c r="A63" s="6" t="s">
        <v>5366</v>
      </c>
      <c r="B63" s="4" t="s">
        <v>5429</v>
      </c>
      <c r="C63" s="4" t="s">
        <v>5424</v>
      </c>
      <c r="D63" s="4" t="s">
        <v>5430</v>
      </c>
      <c r="E63" s="6" t="s">
        <v>1007</v>
      </c>
      <c r="F63" s="6" t="s">
        <v>5370</v>
      </c>
    </row>
    <row r="64" spans="1:6" x14ac:dyDescent="0.3">
      <c r="A64" s="6" t="s">
        <v>5366</v>
      </c>
      <c r="B64" s="4" t="s">
        <v>5431</v>
      </c>
      <c r="C64" s="4" t="s">
        <v>5432</v>
      </c>
      <c r="D64" s="4" t="s">
        <v>5332</v>
      </c>
      <c r="E64" s="6" t="s">
        <v>1014</v>
      </c>
      <c r="F64" s="6" t="s">
        <v>5370</v>
      </c>
    </row>
    <row r="65" spans="1:6" x14ac:dyDescent="0.3">
      <c r="A65" s="6" t="s">
        <v>5366</v>
      </c>
      <c r="B65" s="4" t="s">
        <v>5433</v>
      </c>
      <c r="C65" s="4" t="s">
        <v>5434</v>
      </c>
      <c r="D65" s="4" t="s">
        <v>5435</v>
      </c>
      <c r="E65" s="6" t="s">
        <v>1014</v>
      </c>
      <c r="F65" s="6" t="s">
        <v>5370</v>
      </c>
    </row>
    <row r="66" spans="1:6" x14ac:dyDescent="0.3">
      <c r="A66" s="6" t="s">
        <v>5366</v>
      </c>
      <c r="B66" s="4" t="s">
        <v>5436</v>
      </c>
      <c r="C66" s="4" t="s">
        <v>5434</v>
      </c>
      <c r="D66" s="4" t="s">
        <v>5437</v>
      </c>
      <c r="E66" s="6" t="s">
        <v>1014</v>
      </c>
      <c r="F66" s="6" t="s">
        <v>5370</v>
      </c>
    </row>
    <row r="67" spans="1:6" x14ac:dyDescent="0.3">
      <c r="A67" s="6" t="s">
        <v>5366</v>
      </c>
      <c r="B67" s="4" t="s">
        <v>5438</v>
      </c>
      <c r="C67" s="4" t="s">
        <v>5389</v>
      </c>
      <c r="D67" s="4" t="s">
        <v>5439</v>
      </c>
      <c r="E67" s="6" t="s">
        <v>999</v>
      </c>
      <c r="F67" s="6" t="s">
        <v>5370</v>
      </c>
    </row>
    <row r="68" spans="1:6" x14ac:dyDescent="0.3">
      <c r="A68" s="6" t="s">
        <v>5366</v>
      </c>
      <c r="B68" s="4" t="s">
        <v>5438</v>
      </c>
      <c r="C68" s="4" t="s">
        <v>5440</v>
      </c>
      <c r="D68" s="4" t="s">
        <v>5441</v>
      </c>
      <c r="E68" s="6" t="s">
        <v>398</v>
      </c>
      <c r="F68" s="6" t="s">
        <v>5370</v>
      </c>
    </row>
    <row r="69" spans="1:6" x14ac:dyDescent="0.3">
      <c r="A69" s="6" t="s">
        <v>5366</v>
      </c>
      <c r="B69" s="4" t="s">
        <v>5438</v>
      </c>
      <c r="C69" s="4" t="s">
        <v>5442</v>
      </c>
      <c r="D69" s="4" t="s">
        <v>5312</v>
      </c>
      <c r="E69" s="6" t="s">
        <v>999</v>
      </c>
      <c r="F69" s="6" t="s">
        <v>5370</v>
      </c>
    </row>
    <row r="70" spans="1:6" x14ac:dyDescent="0.3">
      <c r="A70" s="6" t="s">
        <v>5366</v>
      </c>
      <c r="B70" s="4" t="s">
        <v>5438</v>
      </c>
      <c r="C70" s="4" t="s">
        <v>5443</v>
      </c>
      <c r="D70" s="4" t="s">
        <v>5444</v>
      </c>
      <c r="E70" s="6" t="s">
        <v>1007</v>
      </c>
      <c r="F70" s="6" t="s">
        <v>5370</v>
      </c>
    </row>
    <row r="71" spans="1:6" x14ac:dyDescent="0.3">
      <c r="A71" s="6" t="s">
        <v>5366</v>
      </c>
      <c r="B71" s="4" t="s">
        <v>5438</v>
      </c>
      <c r="C71" s="4" t="s">
        <v>5445</v>
      </c>
      <c r="D71" s="4" t="s">
        <v>5332</v>
      </c>
      <c r="E71" s="6" t="s">
        <v>1014</v>
      </c>
      <c r="F71" s="6" t="s">
        <v>5370</v>
      </c>
    </row>
    <row r="72" spans="1:6" x14ac:dyDescent="0.3">
      <c r="A72" s="6" t="s">
        <v>5366</v>
      </c>
      <c r="B72" s="4" t="s">
        <v>5438</v>
      </c>
      <c r="C72" s="4" t="s">
        <v>5446</v>
      </c>
      <c r="D72" s="4" t="s">
        <v>5447</v>
      </c>
      <c r="E72" s="6" t="s">
        <v>1014</v>
      </c>
      <c r="F72" s="6" t="s">
        <v>5370</v>
      </c>
    </row>
    <row r="73" spans="1:6" x14ac:dyDescent="0.3">
      <c r="A73" s="6" t="s">
        <v>5366</v>
      </c>
      <c r="B73" s="4" t="s">
        <v>5448</v>
      </c>
      <c r="C73" s="4" t="s">
        <v>5449</v>
      </c>
      <c r="D73" s="4" t="s">
        <v>5302</v>
      </c>
      <c r="E73" s="6" t="s">
        <v>1083</v>
      </c>
      <c r="F73" s="6" t="s">
        <v>5450</v>
      </c>
    </row>
    <row r="74" spans="1:6" x14ac:dyDescent="0.3">
      <c r="A74" s="6" t="s">
        <v>5366</v>
      </c>
      <c r="B74" s="4" t="s">
        <v>5451</v>
      </c>
      <c r="C74" s="4" t="s">
        <v>5452</v>
      </c>
      <c r="D74" s="4" t="s">
        <v>5317</v>
      </c>
      <c r="E74" s="6" t="s">
        <v>398</v>
      </c>
      <c r="F74" s="6" t="s">
        <v>5450</v>
      </c>
    </row>
    <row r="75" spans="1:6" x14ac:dyDescent="0.3">
      <c r="A75" s="6" t="s">
        <v>5366</v>
      </c>
      <c r="B75" s="4" t="s">
        <v>5451</v>
      </c>
      <c r="C75" s="4" t="s">
        <v>5453</v>
      </c>
      <c r="D75" s="4" t="s">
        <v>5317</v>
      </c>
      <c r="E75" s="6" t="s">
        <v>1007</v>
      </c>
      <c r="F75" s="6" t="s">
        <v>5450</v>
      </c>
    </row>
    <row r="76" spans="1:6" x14ac:dyDescent="0.3">
      <c r="A76" s="6" t="s">
        <v>5366</v>
      </c>
      <c r="B76" s="4" t="s">
        <v>5454</v>
      </c>
      <c r="C76" s="4" t="s">
        <v>5403</v>
      </c>
      <c r="D76" s="4" t="s">
        <v>5455</v>
      </c>
      <c r="E76" s="6" t="s">
        <v>398</v>
      </c>
      <c r="F76" s="6" t="s">
        <v>5450</v>
      </c>
    </row>
    <row r="77" spans="1:6" x14ac:dyDescent="0.3">
      <c r="A77" s="6" t="s">
        <v>5366</v>
      </c>
      <c r="B77" s="4" t="s">
        <v>5456</v>
      </c>
      <c r="C77" s="4" t="s">
        <v>5457</v>
      </c>
      <c r="D77" s="4" t="s">
        <v>5332</v>
      </c>
      <c r="E77" s="6" t="s">
        <v>1007</v>
      </c>
      <c r="F77" s="6" t="s">
        <v>5450</v>
      </c>
    </row>
    <row r="78" spans="1:6" x14ac:dyDescent="0.3">
      <c r="A78" s="6" t="s">
        <v>5366</v>
      </c>
      <c r="B78" s="4" t="s">
        <v>5458</v>
      </c>
      <c r="C78" s="4" t="s">
        <v>5459</v>
      </c>
      <c r="D78" s="4" t="s">
        <v>5325</v>
      </c>
      <c r="E78" s="6" t="s">
        <v>999</v>
      </c>
      <c r="F78" s="6" t="s">
        <v>5450</v>
      </c>
    </row>
    <row r="79" spans="1:6" x14ac:dyDescent="0.3">
      <c r="A79" s="6" t="s">
        <v>5366</v>
      </c>
      <c r="B79" s="4" t="s">
        <v>5460</v>
      </c>
      <c r="C79" s="4" t="s">
        <v>5461</v>
      </c>
      <c r="D79" s="4" t="s">
        <v>5462</v>
      </c>
      <c r="E79" s="6" t="s">
        <v>1007</v>
      </c>
      <c r="F79" s="6" t="s">
        <v>5450</v>
      </c>
    </row>
    <row r="80" spans="1:6" x14ac:dyDescent="0.3">
      <c r="A80" s="6" t="s">
        <v>5366</v>
      </c>
      <c r="B80" s="4" t="s">
        <v>5463</v>
      </c>
      <c r="C80" s="4" t="s">
        <v>5461</v>
      </c>
      <c r="D80" s="4" t="s">
        <v>5464</v>
      </c>
      <c r="E80" s="6" t="s">
        <v>999</v>
      </c>
      <c r="F80" s="6" t="s">
        <v>5450</v>
      </c>
    </row>
    <row r="81" spans="1:6" x14ac:dyDescent="0.3">
      <c r="A81" s="6" t="s">
        <v>5366</v>
      </c>
      <c r="B81" s="4" t="s">
        <v>5465</v>
      </c>
      <c r="C81" s="4" t="s">
        <v>5466</v>
      </c>
      <c r="D81" s="4" t="s">
        <v>5317</v>
      </c>
      <c r="E81" s="6" t="s">
        <v>398</v>
      </c>
      <c r="F81" s="6" t="s">
        <v>5450</v>
      </c>
    </row>
    <row r="82" spans="1:6" x14ac:dyDescent="0.3">
      <c r="A82" s="6" t="s">
        <v>5366</v>
      </c>
      <c r="B82" s="4" t="s">
        <v>5467</v>
      </c>
      <c r="C82" s="4" t="s">
        <v>5468</v>
      </c>
      <c r="D82" s="4" t="s">
        <v>5469</v>
      </c>
      <c r="E82" s="6" t="s">
        <v>398</v>
      </c>
      <c r="F82" s="6" t="s">
        <v>5450</v>
      </c>
    </row>
    <row r="83" spans="1:6" x14ac:dyDescent="0.3">
      <c r="A83" s="6" t="s">
        <v>5366</v>
      </c>
      <c r="B83" s="4" t="s">
        <v>5470</v>
      </c>
      <c r="C83" s="4" t="s">
        <v>5424</v>
      </c>
      <c r="D83" s="4" t="s">
        <v>5471</v>
      </c>
      <c r="E83" s="6" t="s">
        <v>999</v>
      </c>
      <c r="F83" s="6" t="s">
        <v>5450</v>
      </c>
    </row>
    <row r="84" spans="1:6" x14ac:dyDescent="0.3">
      <c r="A84" s="6" t="s">
        <v>5366</v>
      </c>
      <c r="B84" s="4" t="s">
        <v>5472</v>
      </c>
      <c r="C84" s="4" t="s">
        <v>5473</v>
      </c>
      <c r="D84" s="4" t="s">
        <v>5474</v>
      </c>
      <c r="E84" s="6" t="s">
        <v>999</v>
      </c>
      <c r="F84" s="6" t="s">
        <v>5450</v>
      </c>
    </row>
    <row r="85" spans="1:6" x14ac:dyDescent="0.3">
      <c r="A85" s="6" t="s">
        <v>5366</v>
      </c>
      <c r="B85" s="4" t="s">
        <v>5438</v>
      </c>
      <c r="C85" s="4" t="s">
        <v>5475</v>
      </c>
      <c r="D85" s="4" t="s">
        <v>5476</v>
      </c>
      <c r="E85" s="6" t="s">
        <v>1007</v>
      </c>
      <c r="F85" s="6" t="s">
        <v>5450</v>
      </c>
    </row>
    <row r="86" spans="1:6" x14ac:dyDescent="0.3">
      <c r="A86" s="6" t="s">
        <v>5366</v>
      </c>
      <c r="B86" s="4" t="s">
        <v>5438</v>
      </c>
      <c r="C86" s="4" t="s">
        <v>5475</v>
      </c>
      <c r="D86" s="4" t="s">
        <v>5477</v>
      </c>
      <c r="E86" s="6" t="s">
        <v>1007</v>
      </c>
      <c r="F86" s="6" t="s">
        <v>5450</v>
      </c>
    </row>
    <row r="87" spans="1:6" x14ac:dyDescent="0.3">
      <c r="A87" s="6" t="s">
        <v>5366</v>
      </c>
      <c r="B87" s="4" t="s">
        <v>5438</v>
      </c>
      <c r="C87" s="4" t="s">
        <v>5475</v>
      </c>
      <c r="D87" s="4" t="s">
        <v>5381</v>
      </c>
      <c r="E87" s="6" t="s">
        <v>1007</v>
      </c>
      <c r="F87" s="6" t="s">
        <v>5450</v>
      </c>
    </row>
  </sheetData>
  <mergeCells count="1">
    <mergeCell ref="A2:F2"/>
  </mergeCells>
  <phoneticPr fontId="8" type="noConversion"/>
  <pageMargins left="0.75" right="0.75" top="1" bottom="1" header="0.5" footer="0.5"/>
  <pageSetup fitToHeight="0"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H63"/>
  <sheetViews>
    <sheetView showGridLines="0" workbookViewId="0">
      <pane xSplit="2" ySplit="5" topLeftCell="C6" activePane="bottomRight" state="frozen"/>
      <selection pane="topRight"/>
      <selection pane="bottomLeft"/>
      <selection pane="bottomRight"/>
    </sheetView>
  </sheetViews>
  <sheetFormatPr defaultRowHeight="16.5" x14ac:dyDescent="0.3"/>
  <cols>
    <col min="1" max="1" width="12" customWidth="1"/>
    <col min="2" max="2" width="26" customWidth="1"/>
    <col min="3" max="3" width="46" customWidth="1"/>
    <col min="4" max="4" width="50" customWidth="1"/>
    <col min="5" max="6" width="46" customWidth="1"/>
    <col min="7" max="7" width="10" customWidth="1"/>
    <col min="8" max="8" width="14" customWidth="1"/>
  </cols>
  <sheetData>
    <row r="1" spans="1:8" ht="30" customHeight="1" x14ac:dyDescent="0.3">
      <c r="A1" s="1" t="s">
        <v>5478</v>
      </c>
    </row>
    <row r="2" spans="1:8" ht="33.950000000000003" customHeight="1" x14ac:dyDescent="0.3">
      <c r="A2" s="10" t="s">
        <v>5479</v>
      </c>
      <c r="B2" s="11"/>
      <c r="C2" s="11"/>
      <c r="D2" s="11"/>
      <c r="E2" s="11"/>
      <c r="F2" s="11"/>
      <c r="G2" s="11"/>
      <c r="H2" s="11"/>
    </row>
    <row r="3" spans="1:8" x14ac:dyDescent="0.3">
      <c r="A3" s="2" t="s">
        <v>2</v>
      </c>
    </row>
    <row r="5" spans="1:8" ht="26.1" customHeight="1" x14ac:dyDescent="0.3">
      <c r="A5" s="3" t="s">
        <v>3017</v>
      </c>
      <c r="B5" s="3" t="s">
        <v>5480</v>
      </c>
      <c r="C5" s="3" t="s">
        <v>5481</v>
      </c>
      <c r="D5" s="3" t="s">
        <v>5482</v>
      </c>
      <c r="E5" s="3" t="s">
        <v>5483</v>
      </c>
      <c r="F5" s="3" t="s">
        <v>5484</v>
      </c>
      <c r="G5" s="3" t="s">
        <v>5485</v>
      </c>
      <c r="H5" s="3" t="s">
        <v>29</v>
      </c>
    </row>
    <row r="6" spans="1:8" ht="63.75" x14ac:dyDescent="0.3">
      <c r="A6" s="6" t="s">
        <v>51</v>
      </c>
      <c r="B6" s="4" t="s">
        <v>5486</v>
      </c>
      <c r="C6" s="4" t="s">
        <v>5487</v>
      </c>
      <c r="D6" s="4" t="s">
        <v>5488</v>
      </c>
      <c r="E6" s="4" t="s">
        <v>5489</v>
      </c>
      <c r="F6" s="4" t="s">
        <v>5490</v>
      </c>
      <c r="G6" s="6" t="s">
        <v>5491</v>
      </c>
      <c r="H6" s="6" t="s">
        <v>5492</v>
      </c>
    </row>
    <row r="7" spans="1:8" ht="63.75" x14ac:dyDescent="0.3">
      <c r="A7" s="6" t="s">
        <v>51</v>
      </c>
      <c r="B7" s="4" t="s">
        <v>5493</v>
      </c>
      <c r="C7" s="4" t="s">
        <v>5494</v>
      </c>
      <c r="D7" s="4" t="s">
        <v>5495</v>
      </c>
      <c r="E7" s="4" t="s">
        <v>5496</v>
      </c>
      <c r="F7" s="4" t="s">
        <v>5497</v>
      </c>
      <c r="G7" s="6" t="s">
        <v>5491</v>
      </c>
      <c r="H7" s="6" t="s">
        <v>5498</v>
      </c>
    </row>
    <row r="8" spans="1:8" ht="63.75" x14ac:dyDescent="0.3">
      <c r="A8" s="6" t="s">
        <v>51</v>
      </c>
      <c r="B8" s="4" t="s">
        <v>5499</v>
      </c>
      <c r="C8" s="4" t="s">
        <v>5500</v>
      </c>
      <c r="D8" s="4" t="s">
        <v>5501</v>
      </c>
      <c r="E8" s="4" t="s">
        <v>5502</v>
      </c>
      <c r="F8" s="4" t="s">
        <v>5503</v>
      </c>
      <c r="G8" s="6" t="s">
        <v>5491</v>
      </c>
      <c r="H8" s="6" t="s">
        <v>5492</v>
      </c>
    </row>
    <row r="9" spans="1:8" ht="38.25" x14ac:dyDescent="0.3">
      <c r="A9" s="6" t="s">
        <v>51</v>
      </c>
      <c r="B9" s="4" t="s">
        <v>5504</v>
      </c>
      <c r="C9" s="4" t="s">
        <v>5505</v>
      </c>
      <c r="D9" s="4" t="s">
        <v>5506</v>
      </c>
      <c r="E9" s="4" t="s">
        <v>5507</v>
      </c>
      <c r="F9" s="4" t="s">
        <v>5508</v>
      </c>
      <c r="G9" s="6" t="s">
        <v>5509</v>
      </c>
      <c r="H9" s="6" t="s">
        <v>5492</v>
      </c>
    </row>
    <row r="10" spans="1:8" ht="76.5" x14ac:dyDescent="0.3">
      <c r="A10" s="6" t="s">
        <v>51</v>
      </c>
      <c r="B10" s="4" t="s">
        <v>5510</v>
      </c>
      <c r="C10" s="4" t="s">
        <v>5511</v>
      </c>
      <c r="D10" s="4" t="s">
        <v>5512</v>
      </c>
      <c r="E10" s="4" t="s">
        <v>5513</v>
      </c>
      <c r="F10" s="4" t="s">
        <v>5514</v>
      </c>
      <c r="G10" s="6" t="s">
        <v>5509</v>
      </c>
      <c r="H10" s="6" t="s">
        <v>5515</v>
      </c>
    </row>
    <row r="11" spans="1:8" ht="63.75" x14ac:dyDescent="0.3">
      <c r="A11" s="6" t="s">
        <v>51</v>
      </c>
      <c r="B11" s="4" t="s">
        <v>5516</v>
      </c>
      <c r="C11" s="4" t="s">
        <v>5517</v>
      </c>
      <c r="D11" s="4" t="s">
        <v>5518</v>
      </c>
      <c r="E11" s="4" t="s">
        <v>5519</v>
      </c>
      <c r="F11" s="4" t="s">
        <v>5520</v>
      </c>
      <c r="G11" s="6" t="s">
        <v>5521</v>
      </c>
      <c r="H11" s="6" t="s">
        <v>5522</v>
      </c>
    </row>
    <row r="12" spans="1:8" ht="51" x14ac:dyDescent="0.3">
      <c r="A12" s="6" t="s">
        <v>51</v>
      </c>
      <c r="B12" s="4" t="s">
        <v>5523</v>
      </c>
      <c r="C12" s="4" t="s">
        <v>5524</v>
      </c>
      <c r="D12" s="4" t="s">
        <v>5525</v>
      </c>
      <c r="E12" s="4" t="s">
        <v>5526</v>
      </c>
      <c r="F12" s="4" t="s">
        <v>5527</v>
      </c>
      <c r="G12" s="6" t="s">
        <v>5521</v>
      </c>
      <c r="H12" s="6" t="s">
        <v>5492</v>
      </c>
    </row>
    <row r="13" spans="1:8" ht="51" x14ac:dyDescent="0.3">
      <c r="A13" s="6" t="s">
        <v>51</v>
      </c>
      <c r="B13" s="4" t="s">
        <v>5528</v>
      </c>
      <c r="C13" s="4" t="s">
        <v>5529</v>
      </c>
      <c r="D13" s="4" t="s">
        <v>5530</v>
      </c>
      <c r="E13" s="4" t="s">
        <v>5531</v>
      </c>
      <c r="F13" s="4" t="s">
        <v>5532</v>
      </c>
      <c r="G13" s="6" t="s">
        <v>5509</v>
      </c>
      <c r="H13" s="6" t="s">
        <v>5492</v>
      </c>
    </row>
    <row r="14" spans="1:8" ht="38.25" x14ac:dyDescent="0.3">
      <c r="A14" s="6" t="s">
        <v>51</v>
      </c>
      <c r="B14" s="4" t="s">
        <v>5533</v>
      </c>
      <c r="C14" s="4" t="s">
        <v>5534</v>
      </c>
      <c r="D14" s="4" t="s">
        <v>5535</v>
      </c>
      <c r="E14" s="4" t="s">
        <v>5536</v>
      </c>
      <c r="F14" s="4" t="s">
        <v>5537</v>
      </c>
      <c r="G14" s="6" t="s">
        <v>5509</v>
      </c>
      <c r="H14" s="6" t="s">
        <v>5538</v>
      </c>
    </row>
    <row r="15" spans="1:8" ht="38.25" x14ac:dyDescent="0.3">
      <c r="A15" s="6" t="s">
        <v>51</v>
      </c>
      <c r="B15" s="4" t="s">
        <v>5539</v>
      </c>
      <c r="C15" s="4" t="s">
        <v>5540</v>
      </c>
      <c r="D15" s="4" t="s">
        <v>5541</v>
      </c>
      <c r="E15" s="4" t="s">
        <v>5542</v>
      </c>
      <c r="F15" s="4" t="s">
        <v>5543</v>
      </c>
      <c r="G15" s="6" t="s">
        <v>5509</v>
      </c>
      <c r="H15" s="6" t="s">
        <v>5498</v>
      </c>
    </row>
    <row r="16" spans="1:8" ht="76.5" x14ac:dyDescent="0.3">
      <c r="A16" s="6" t="s">
        <v>52</v>
      </c>
      <c r="B16" s="4" t="s">
        <v>5544</v>
      </c>
      <c r="C16" s="4" t="s">
        <v>5545</v>
      </c>
      <c r="D16" s="4" t="s">
        <v>5546</v>
      </c>
      <c r="E16" s="4" t="s">
        <v>5547</v>
      </c>
      <c r="F16" s="4" t="s">
        <v>5548</v>
      </c>
      <c r="G16" s="6" t="s">
        <v>5521</v>
      </c>
      <c r="H16" s="6" t="s">
        <v>5549</v>
      </c>
    </row>
    <row r="17" spans="1:8" ht="102" x14ac:dyDescent="0.3">
      <c r="A17" s="6" t="s">
        <v>52</v>
      </c>
      <c r="B17" s="4" t="s">
        <v>5550</v>
      </c>
      <c r="C17" s="4" t="s">
        <v>5551</v>
      </c>
      <c r="D17" s="4" t="s">
        <v>5552</v>
      </c>
      <c r="E17" s="4" t="s">
        <v>5553</v>
      </c>
      <c r="F17" s="4" t="s">
        <v>5554</v>
      </c>
      <c r="G17" s="6" t="s">
        <v>5509</v>
      </c>
      <c r="H17" s="6" t="s">
        <v>5555</v>
      </c>
    </row>
    <row r="18" spans="1:8" ht="76.5" x14ac:dyDescent="0.3">
      <c r="A18" s="6" t="s">
        <v>52</v>
      </c>
      <c r="B18" s="4" t="s">
        <v>5556</v>
      </c>
      <c r="C18" s="4" t="s">
        <v>5557</v>
      </c>
      <c r="D18" s="4" t="s">
        <v>5558</v>
      </c>
      <c r="E18" s="4" t="s">
        <v>5559</v>
      </c>
      <c r="F18" s="4" t="s">
        <v>5560</v>
      </c>
      <c r="G18" s="6" t="s">
        <v>5509</v>
      </c>
      <c r="H18" s="6" t="s">
        <v>5561</v>
      </c>
    </row>
    <row r="19" spans="1:8" ht="89.25" x14ac:dyDescent="0.3">
      <c r="A19" s="6" t="s">
        <v>52</v>
      </c>
      <c r="B19" s="4" t="s">
        <v>5562</v>
      </c>
      <c r="C19" s="4" t="s">
        <v>5563</v>
      </c>
      <c r="D19" s="4" t="s">
        <v>5564</v>
      </c>
      <c r="E19" s="4" t="s">
        <v>5565</v>
      </c>
      <c r="F19" s="4" t="s">
        <v>5566</v>
      </c>
      <c r="G19" s="6" t="s">
        <v>5491</v>
      </c>
      <c r="H19" s="6" t="s">
        <v>5567</v>
      </c>
    </row>
    <row r="20" spans="1:8" ht="114.75" x14ac:dyDescent="0.3">
      <c r="A20" s="6" t="s">
        <v>52</v>
      </c>
      <c r="B20" s="4" t="s">
        <v>5568</v>
      </c>
      <c r="C20" s="4" t="s">
        <v>5569</v>
      </c>
      <c r="D20" s="4" t="s">
        <v>5570</v>
      </c>
      <c r="E20" s="4" t="s">
        <v>5571</v>
      </c>
      <c r="F20" s="4" t="s">
        <v>5572</v>
      </c>
      <c r="G20" s="6" t="s">
        <v>5491</v>
      </c>
      <c r="H20" s="6" t="s">
        <v>5573</v>
      </c>
    </row>
    <row r="21" spans="1:8" ht="76.5" x14ac:dyDescent="0.3">
      <c r="A21" s="6" t="s">
        <v>52</v>
      </c>
      <c r="B21" s="4" t="s">
        <v>5574</v>
      </c>
      <c r="C21" s="4" t="s">
        <v>5575</v>
      </c>
      <c r="D21" s="4" t="s">
        <v>5576</v>
      </c>
      <c r="E21" s="4" t="s">
        <v>5577</v>
      </c>
      <c r="F21" s="4" t="s">
        <v>5578</v>
      </c>
      <c r="G21" s="6" t="s">
        <v>5509</v>
      </c>
      <c r="H21" s="6" t="s">
        <v>5579</v>
      </c>
    </row>
    <row r="22" spans="1:8" ht="63.75" x14ac:dyDescent="0.3">
      <c r="A22" s="6" t="s">
        <v>52</v>
      </c>
      <c r="B22" s="4" t="s">
        <v>5580</v>
      </c>
      <c r="C22" s="4" t="s">
        <v>5581</v>
      </c>
      <c r="D22" s="4" t="s">
        <v>5582</v>
      </c>
      <c r="E22" s="4" t="s">
        <v>5583</v>
      </c>
      <c r="F22" s="4" t="s">
        <v>5584</v>
      </c>
      <c r="G22" s="6" t="s">
        <v>5509</v>
      </c>
      <c r="H22" s="6" t="s">
        <v>5585</v>
      </c>
    </row>
    <row r="23" spans="1:8" ht="51" x14ac:dyDescent="0.3">
      <c r="A23" s="6" t="s">
        <v>52</v>
      </c>
      <c r="B23" s="4" t="s">
        <v>5586</v>
      </c>
      <c r="C23" s="4" t="s">
        <v>5587</v>
      </c>
      <c r="D23" s="4" t="s">
        <v>5588</v>
      </c>
      <c r="E23" s="4" t="s">
        <v>5589</v>
      </c>
      <c r="F23" s="4" t="s">
        <v>5590</v>
      </c>
      <c r="G23" s="6" t="s">
        <v>5509</v>
      </c>
      <c r="H23" s="6" t="s">
        <v>5591</v>
      </c>
    </row>
    <row r="24" spans="1:8" ht="89.25" x14ac:dyDescent="0.3">
      <c r="A24" s="6" t="s">
        <v>52</v>
      </c>
      <c r="B24" s="4" t="s">
        <v>5592</v>
      </c>
      <c r="C24" s="4" t="s">
        <v>5593</v>
      </c>
      <c r="D24" s="4" t="s">
        <v>5594</v>
      </c>
      <c r="E24" s="4" t="s">
        <v>5595</v>
      </c>
      <c r="F24" s="4" t="s">
        <v>5596</v>
      </c>
      <c r="G24" s="6" t="s">
        <v>5491</v>
      </c>
      <c r="H24" s="6" t="s">
        <v>5597</v>
      </c>
    </row>
    <row r="25" spans="1:8" ht="76.5" x14ac:dyDescent="0.3">
      <c r="A25" s="6" t="s">
        <v>52</v>
      </c>
      <c r="B25" s="4" t="s">
        <v>5598</v>
      </c>
      <c r="C25" s="4" t="s">
        <v>5599</v>
      </c>
      <c r="D25" s="4" t="s">
        <v>5600</v>
      </c>
      <c r="E25" s="4" t="s">
        <v>5601</v>
      </c>
      <c r="F25" s="4" t="s">
        <v>5602</v>
      </c>
      <c r="G25" s="6" t="s">
        <v>5509</v>
      </c>
      <c r="H25" s="6" t="s">
        <v>5603</v>
      </c>
    </row>
    <row r="26" spans="1:8" ht="76.5" x14ac:dyDescent="0.3">
      <c r="A26" s="6" t="s">
        <v>53</v>
      </c>
      <c r="B26" s="4" t="s">
        <v>5604</v>
      </c>
      <c r="C26" s="4" t="s">
        <v>5605</v>
      </c>
      <c r="D26" s="4" t="s">
        <v>5606</v>
      </c>
      <c r="E26" s="4" t="s">
        <v>5607</v>
      </c>
      <c r="F26" s="4" t="s">
        <v>5608</v>
      </c>
      <c r="G26" s="6" t="s">
        <v>5509</v>
      </c>
      <c r="H26" s="6" t="s">
        <v>5609</v>
      </c>
    </row>
    <row r="27" spans="1:8" ht="76.5" x14ac:dyDescent="0.3">
      <c r="A27" s="6" t="s">
        <v>53</v>
      </c>
      <c r="B27" s="4" t="s">
        <v>5610</v>
      </c>
      <c r="C27" s="4" t="s">
        <v>5611</v>
      </c>
      <c r="D27" s="4" t="s">
        <v>5612</v>
      </c>
      <c r="E27" s="4" t="s">
        <v>5613</v>
      </c>
      <c r="F27" s="4" t="s">
        <v>5614</v>
      </c>
      <c r="G27" s="6" t="s">
        <v>5491</v>
      </c>
      <c r="H27" s="6" t="s">
        <v>5615</v>
      </c>
    </row>
    <row r="28" spans="1:8" ht="63.75" x14ac:dyDescent="0.3">
      <c r="A28" s="6" t="s">
        <v>53</v>
      </c>
      <c r="B28" s="4" t="s">
        <v>5616</v>
      </c>
      <c r="C28" s="4" t="s">
        <v>5617</v>
      </c>
      <c r="D28" s="4" t="s">
        <v>5618</v>
      </c>
      <c r="E28" s="4" t="s">
        <v>5619</v>
      </c>
      <c r="F28" s="4" t="s">
        <v>5620</v>
      </c>
      <c r="G28" s="6" t="s">
        <v>5509</v>
      </c>
      <c r="H28" s="6" t="s">
        <v>5621</v>
      </c>
    </row>
    <row r="29" spans="1:8" ht="51" x14ac:dyDescent="0.3">
      <c r="A29" s="6" t="s">
        <v>53</v>
      </c>
      <c r="B29" s="4" t="s">
        <v>5622</v>
      </c>
      <c r="C29" s="4" t="s">
        <v>5623</v>
      </c>
      <c r="D29" s="4" t="s">
        <v>5624</v>
      </c>
      <c r="E29" s="4" t="s">
        <v>5625</v>
      </c>
      <c r="F29" s="4" t="s">
        <v>5626</v>
      </c>
      <c r="G29" s="6" t="s">
        <v>5509</v>
      </c>
      <c r="H29" s="6" t="s">
        <v>5627</v>
      </c>
    </row>
    <row r="30" spans="1:8" ht="63.75" x14ac:dyDescent="0.3">
      <c r="A30" s="6" t="s">
        <v>53</v>
      </c>
      <c r="B30" s="4" t="s">
        <v>5628</v>
      </c>
      <c r="C30" s="4" t="s">
        <v>5629</v>
      </c>
      <c r="D30" s="4" t="s">
        <v>5630</v>
      </c>
      <c r="E30" s="4" t="s">
        <v>5631</v>
      </c>
      <c r="F30" s="4" t="s">
        <v>5632</v>
      </c>
      <c r="G30" s="6" t="s">
        <v>5491</v>
      </c>
      <c r="H30" s="6" t="s">
        <v>5633</v>
      </c>
    </row>
    <row r="31" spans="1:8" ht="63.75" x14ac:dyDescent="0.3">
      <c r="A31" s="6" t="s">
        <v>53</v>
      </c>
      <c r="B31" s="4" t="s">
        <v>5634</v>
      </c>
      <c r="C31" s="4" t="s">
        <v>5635</v>
      </c>
      <c r="D31" s="4" t="s">
        <v>5636</v>
      </c>
      <c r="E31" s="4" t="s">
        <v>5637</v>
      </c>
      <c r="F31" s="4" t="s">
        <v>5638</v>
      </c>
      <c r="G31" s="6" t="s">
        <v>5509</v>
      </c>
      <c r="H31" s="6" t="s">
        <v>5639</v>
      </c>
    </row>
    <row r="32" spans="1:8" ht="63.75" x14ac:dyDescent="0.3">
      <c r="A32" s="6" t="s">
        <v>53</v>
      </c>
      <c r="B32" s="4" t="s">
        <v>5640</v>
      </c>
      <c r="C32" s="4" t="s">
        <v>5641</v>
      </c>
      <c r="D32" s="4" t="s">
        <v>5642</v>
      </c>
      <c r="E32" s="4" t="s">
        <v>5643</v>
      </c>
      <c r="F32" s="4" t="s">
        <v>5644</v>
      </c>
      <c r="G32" s="6" t="s">
        <v>5509</v>
      </c>
      <c r="H32" s="6" t="s">
        <v>5645</v>
      </c>
    </row>
    <row r="33" spans="1:8" ht="63.75" x14ac:dyDescent="0.3">
      <c r="A33" s="6" t="s">
        <v>53</v>
      </c>
      <c r="B33" s="4" t="s">
        <v>5646</v>
      </c>
      <c r="C33" s="4" t="s">
        <v>5647</v>
      </c>
      <c r="D33" s="4" t="s">
        <v>5648</v>
      </c>
      <c r="E33" s="4" t="s">
        <v>5649</v>
      </c>
      <c r="F33" s="4" t="s">
        <v>5650</v>
      </c>
      <c r="G33" s="6" t="s">
        <v>5651</v>
      </c>
      <c r="H33" s="6" t="s">
        <v>5652</v>
      </c>
    </row>
    <row r="34" spans="1:8" ht="51" x14ac:dyDescent="0.3">
      <c r="A34" s="6" t="s">
        <v>53</v>
      </c>
      <c r="B34" s="4" t="s">
        <v>5653</v>
      </c>
      <c r="C34" s="4" t="s">
        <v>5654</v>
      </c>
      <c r="D34" s="4" t="s">
        <v>5655</v>
      </c>
      <c r="E34" s="4" t="s">
        <v>5656</v>
      </c>
      <c r="F34" s="4" t="s">
        <v>5657</v>
      </c>
      <c r="G34" s="6" t="s">
        <v>5651</v>
      </c>
      <c r="H34" s="6" t="s">
        <v>5658</v>
      </c>
    </row>
    <row r="35" spans="1:8" ht="76.5" x14ac:dyDescent="0.3">
      <c r="A35" s="6" t="s">
        <v>53</v>
      </c>
      <c r="B35" s="4" t="s">
        <v>5659</v>
      </c>
      <c r="C35" s="4" t="s">
        <v>5660</v>
      </c>
      <c r="D35" s="4" t="s">
        <v>5661</v>
      </c>
      <c r="E35" s="4" t="s">
        <v>5662</v>
      </c>
      <c r="F35" s="4" t="s">
        <v>5663</v>
      </c>
      <c r="G35" s="6" t="s">
        <v>5491</v>
      </c>
      <c r="H35" s="6" t="s">
        <v>5664</v>
      </c>
    </row>
    <row r="36" spans="1:8" ht="63.75" x14ac:dyDescent="0.3">
      <c r="A36" s="6" t="s">
        <v>53</v>
      </c>
      <c r="B36" s="4" t="s">
        <v>5665</v>
      </c>
      <c r="C36" s="4" t="s">
        <v>5666</v>
      </c>
      <c r="D36" s="4" t="s">
        <v>5667</v>
      </c>
      <c r="E36" s="4" t="s">
        <v>5668</v>
      </c>
      <c r="F36" s="4" t="s">
        <v>5669</v>
      </c>
      <c r="G36" s="6" t="s">
        <v>5509</v>
      </c>
      <c r="H36" s="6" t="s">
        <v>5670</v>
      </c>
    </row>
    <row r="37" spans="1:8" ht="51" x14ac:dyDescent="0.3">
      <c r="A37" s="6" t="s">
        <v>53</v>
      </c>
      <c r="B37" s="4" t="s">
        <v>5671</v>
      </c>
      <c r="C37" s="4" t="s">
        <v>5672</v>
      </c>
      <c r="D37" s="4" t="s">
        <v>5673</v>
      </c>
      <c r="E37" s="4" t="s">
        <v>5674</v>
      </c>
      <c r="F37" s="4" t="s">
        <v>5675</v>
      </c>
      <c r="G37" s="6" t="s">
        <v>5509</v>
      </c>
      <c r="H37" s="6" t="s">
        <v>5676</v>
      </c>
    </row>
    <row r="38" spans="1:8" ht="63.75" x14ac:dyDescent="0.3">
      <c r="A38" s="6" t="s">
        <v>53</v>
      </c>
      <c r="B38" s="4" t="s">
        <v>5677</v>
      </c>
      <c r="C38" s="4" t="s">
        <v>5678</v>
      </c>
      <c r="D38" s="4" t="s">
        <v>5679</v>
      </c>
      <c r="E38" s="4" t="s">
        <v>5680</v>
      </c>
      <c r="F38" s="4" t="s">
        <v>5681</v>
      </c>
      <c r="G38" s="6" t="s">
        <v>5651</v>
      </c>
      <c r="H38" s="6" t="s">
        <v>5682</v>
      </c>
    </row>
    <row r="39" spans="1:8" ht="89.25" x14ac:dyDescent="0.3">
      <c r="A39" s="6" t="s">
        <v>54</v>
      </c>
      <c r="B39" s="4" t="s">
        <v>5683</v>
      </c>
      <c r="C39" s="4" t="s">
        <v>5684</v>
      </c>
      <c r="D39" s="4" t="s">
        <v>5685</v>
      </c>
      <c r="E39" s="4" t="s">
        <v>5686</v>
      </c>
      <c r="F39" s="4" t="s">
        <v>5687</v>
      </c>
      <c r="G39" s="6" t="s">
        <v>5491</v>
      </c>
      <c r="H39" s="6" t="s">
        <v>5688</v>
      </c>
    </row>
    <row r="40" spans="1:8" ht="63.75" x14ac:dyDescent="0.3">
      <c r="A40" s="6" t="s">
        <v>54</v>
      </c>
      <c r="B40" s="4" t="s">
        <v>5689</v>
      </c>
      <c r="C40" s="4" t="s">
        <v>5690</v>
      </c>
      <c r="D40" s="4" t="s">
        <v>5691</v>
      </c>
      <c r="E40" s="4" t="s">
        <v>5692</v>
      </c>
      <c r="F40" s="4" t="s">
        <v>5693</v>
      </c>
      <c r="G40" s="6" t="s">
        <v>5491</v>
      </c>
      <c r="H40" s="6" t="s">
        <v>5694</v>
      </c>
    </row>
    <row r="41" spans="1:8" ht="63.75" x14ac:dyDescent="0.3">
      <c r="A41" s="6" t="s">
        <v>54</v>
      </c>
      <c r="B41" s="4" t="s">
        <v>5695</v>
      </c>
      <c r="C41" s="4" t="s">
        <v>5696</v>
      </c>
      <c r="D41" s="4" t="s">
        <v>5697</v>
      </c>
      <c r="E41" s="4" t="s">
        <v>5698</v>
      </c>
      <c r="F41" s="4" t="s">
        <v>5699</v>
      </c>
      <c r="G41" s="6" t="s">
        <v>5509</v>
      </c>
      <c r="H41" s="6" t="s">
        <v>5700</v>
      </c>
    </row>
    <row r="42" spans="1:8" ht="76.5" x14ac:dyDescent="0.3">
      <c r="A42" s="6" t="s">
        <v>54</v>
      </c>
      <c r="B42" s="4" t="s">
        <v>5701</v>
      </c>
      <c r="C42" s="4" t="s">
        <v>5702</v>
      </c>
      <c r="D42" s="4" t="s">
        <v>5703</v>
      </c>
      <c r="E42" s="4" t="s">
        <v>5704</v>
      </c>
      <c r="F42" s="4" t="s">
        <v>5705</v>
      </c>
      <c r="G42" s="6" t="s">
        <v>5509</v>
      </c>
      <c r="H42" s="6" t="s">
        <v>5706</v>
      </c>
    </row>
    <row r="43" spans="1:8" ht="63.75" x14ac:dyDescent="0.3">
      <c r="A43" s="6" t="s">
        <v>54</v>
      </c>
      <c r="B43" s="4" t="s">
        <v>5707</v>
      </c>
      <c r="C43" s="4" t="s">
        <v>5708</v>
      </c>
      <c r="D43" s="4" t="s">
        <v>5709</v>
      </c>
      <c r="E43" s="4" t="s">
        <v>5710</v>
      </c>
      <c r="F43" s="4" t="s">
        <v>5711</v>
      </c>
      <c r="G43" s="6" t="s">
        <v>5491</v>
      </c>
      <c r="H43" s="6" t="s">
        <v>5712</v>
      </c>
    </row>
    <row r="44" spans="1:8" ht="102" x14ac:dyDescent="0.3">
      <c r="A44" s="6" t="s">
        <v>54</v>
      </c>
      <c r="B44" s="4" t="s">
        <v>5713</v>
      </c>
      <c r="C44" s="4" t="s">
        <v>5714</v>
      </c>
      <c r="D44" s="4" t="s">
        <v>5715</v>
      </c>
      <c r="E44" s="4" t="s">
        <v>5716</v>
      </c>
      <c r="F44" s="4" t="s">
        <v>5717</v>
      </c>
      <c r="G44" s="6" t="s">
        <v>5491</v>
      </c>
      <c r="H44" s="6" t="s">
        <v>5718</v>
      </c>
    </row>
    <row r="45" spans="1:8" ht="76.5" x14ac:dyDescent="0.3">
      <c r="A45" s="6" t="s">
        <v>54</v>
      </c>
      <c r="B45" s="4" t="s">
        <v>5719</v>
      </c>
      <c r="C45" s="4" t="s">
        <v>5720</v>
      </c>
      <c r="D45" s="4" t="s">
        <v>5721</v>
      </c>
      <c r="E45" s="4" t="s">
        <v>5722</v>
      </c>
      <c r="F45" s="4" t="s">
        <v>5723</v>
      </c>
      <c r="G45" s="6" t="s">
        <v>5521</v>
      </c>
      <c r="H45" s="6" t="s">
        <v>5724</v>
      </c>
    </row>
    <row r="46" spans="1:8" ht="51" x14ac:dyDescent="0.3">
      <c r="A46" s="6" t="s">
        <v>54</v>
      </c>
      <c r="B46" s="4" t="s">
        <v>5725</v>
      </c>
      <c r="C46" s="4" t="s">
        <v>5726</v>
      </c>
      <c r="D46" s="4" t="s">
        <v>5727</v>
      </c>
      <c r="E46" s="4" t="s">
        <v>5728</v>
      </c>
      <c r="F46" s="4" t="s">
        <v>5729</v>
      </c>
      <c r="G46" s="6" t="s">
        <v>5509</v>
      </c>
      <c r="H46" s="6" t="s">
        <v>5730</v>
      </c>
    </row>
    <row r="47" spans="1:8" ht="63.75" x14ac:dyDescent="0.3">
      <c r="A47" s="6" t="s">
        <v>54</v>
      </c>
      <c r="B47" s="4" t="s">
        <v>5731</v>
      </c>
      <c r="C47" s="4" t="s">
        <v>5732</v>
      </c>
      <c r="D47" s="4" t="s">
        <v>5733</v>
      </c>
      <c r="E47" s="4" t="s">
        <v>5734</v>
      </c>
      <c r="F47" s="4" t="s">
        <v>5735</v>
      </c>
      <c r="G47" s="6" t="s">
        <v>5521</v>
      </c>
      <c r="H47" s="6" t="s">
        <v>5736</v>
      </c>
    </row>
    <row r="48" spans="1:8" ht="51" x14ac:dyDescent="0.3">
      <c r="A48" s="6" t="s">
        <v>54</v>
      </c>
      <c r="B48" s="4" t="s">
        <v>5737</v>
      </c>
      <c r="C48" s="4" t="s">
        <v>5738</v>
      </c>
      <c r="D48" s="4" t="s">
        <v>5739</v>
      </c>
      <c r="E48" s="4" t="s">
        <v>5740</v>
      </c>
      <c r="F48" s="4" t="s">
        <v>5741</v>
      </c>
      <c r="G48" s="6" t="s">
        <v>5509</v>
      </c>
      <c r="H48" s="6" t="s">
        <v>5742</v>
      </c>
    </row>
    <row r="49" spans="1:8" ht="51" x14ac:dyDescent="0.3">
      <c r="A49" s="6" t="s">
        <v>55</v>
      </c>
      <c r="B49" s="4" t="s">
        <v>5743</v>
      </c>
      <c r="C49" s="4" t="s">
        <v>5744</v>
      </c>
      <c r="D49" s="4" t="s">
        <v>5745</v>
      </c>
      <c r="E49" s="4" t="s">
        <v>5746</v>
      </c>
      <c r="F49" s="4" t="s">
        <v>5747</v>
      </c>
      <c r="G49" s="6" t="s">
        <v>4237</v>
      </c>
      <c r="H49" s="6" t="s">
        <v>5748</v>
      </c>
    </row>
    <row r="50" spans="1:8" ht="127.5" x14ac:dyDescent="0.3">
      <c r="A50" s="6" t="s">
        <v>55</v>
      </c>
      <c r="B50" s="4" t="s">
        <v>5749</v>
      </c>
      <c r="C50" s="4" t="s">
        <v>5750</v>
      </c>
      <c r="D50" s="4" t="s">
        <v>5751</v>
      </c>
      <c r="E50" s="4" t="s">
        <v>5752</v>
      </c>
      <c r="F50" s="4" t="s">
        <v>5753</v>
      </c>
      <c r="G50" s="6" t="s">
        <v>4237</v>
      </c>
      <c r="H50" s="6" t="s">
        <v>5754</v>
      </c>
    </row>
    <row r="51" spans="1:8" ht="153" x14ac:dyDescent="0.3">
      <c r="A51" s="6" t="s">
        <v>55</v>
      </c>
      <c r="B51" s="4" t="s">
        <v>5755</v>
      </c>
      <c r="C51" s="4" t="s">
        <v>5756</v>
      </c>
      <c r="D51" s="4" t="s">
        <v>5757</v>
      </c>
      <c r="E51" s="4" t="s">
        <v>5758</v>
      </c>
      <c r="F51" s="4" t="s">
        <v>5759</v>
      </c>
      <c r="G51" s="6" t="s">
        <v>4237</v>
      </c>
      <c r="H51" s="6" t="s">
        <v>5760</v>
      </c>
    </row>
    <row r="52" spans="1:8" ht="140.25" x14ac:dyDescent="0.3">
      <c r="A52" s="6" t="s">
        <v>55</v>
      </c>
      <c r="B52" s="4" t="s">
        <v>5761</v>
      </c>
      <c r="C52" s="4" t="s">
        <v>5762</v>
      </c>
      <c r="D52" s="4" t="s">
        <v>5763</v>
      </c>
      <c r="E52" s="4" t="s">
        <v>5764</v>
      </c>
      <c r="F52" s="4" t="s">
        <v>5765</v>
      </c>
      <c r="G52" s="6" t="s">
        <v>4237</v>
      </c>
      <c r="H52" s="6" t="s">
        <v>5766</v>
      </c>
    </row>
    <row r="53" spans="1:8" ht="178.5" x14ac:dyDescent="0.3">
      <c r="A53" s="6" t="s">
        <v>55</v>
      </c>
      <c r="B53" s="4" t="s">
        <v>5767</v>
      </c>
      <c r="C53" s="4" t="s">
        <v>5768</v>
      </c>
      <c r="D53" s="4" t="s">
        <v>5769</v>
      </c>
      <c r="E53" s="4" t="s">
        <v>5770</v>
      </c>
      <c r="F53" s="4" t="s">
        <v>5771</v>
      </c>
      <c r="G53" s="6" t="s">
        <v>4237</v>
      </c>
      <c r="H53" s="6" t="s">
        <v>5772</v>
      </c>
    </row>
    <row r="54" spans="1:8" ht="89.25" x14ac:dyDescent="0.3">
      <c r="A54" s="6" t="s">
        <v>55</v>
      </c>
      <c r="B54" s="4" t="s">
        <v>5773</v>
      </c>
      <c r="C54" s="4" t="s">
        <v>5774</v>
      </c>
      <c r="D54" s="4" t="s">
        <v>5775</v>
      </c>
      <c r="E54" s="4" t="s">
        <v>5776</v>
      </c>
      <c r="F54" s="4" t="s">
        <v>5777</v>
      </c>
      <c r="G54" s="6" t="s">
        <v>4237</v>
      </c>
      <c r="H54" s="6" t="s">
        <v>5778</v>
      </c>
    </row>
    <row r="55" spans="1:8" ht="51" x14ac:dyDescent="0.3">
      <c r="A55" s="6" t="s">
        <v>55</v>
      </c>
      <c r="B55" s="4" t="s">
        <v>5779</v>
      </c>
      <c r="C55" s="4" t="s">
        <v>5780</v>
      </c>
      <c r="D55" s="4" t="s">
        <v>5781</v>
      </c>
      <c r="E55" s="4" t="s">
        <v>5782</v>
      </c>
      <c r="F55" s="4" t="s">
        <v>5783</v>
      </c>
      <c r="G55" s="6" t="s">
        <v>4240</v>
      </c>
      <c r="H55" s="6" t="s">
        <v>5784</v>
      </c>
    </row>
    <row r="56" spans="1:8" ht="165.75" x14ac:dyDescent="0.3">
      <c r="A56" s="6" t="s">
        <v>55</v>
      </c>
      <c r="B56" s="4" t="s">
        <v>5785</v>
      </c>
      <c r="C56" s="4" t="s">
        <v>5786</v>
      </c>
      <c r="D56" s="4" t="s">
        <v>5787</v>
      </c>
      <c r="E56" s="4" t="s">
        <v>5788</v>
      </c>
      <c r="F56" s="4" t="s">
        <v>5789</v>
      </c>
      <c r="G56" s="6" t="s">
        <v>4237</v>
      </c>
      <c r="H56" s="6" t="s">
        <v>5790</v>
      </c>
    </row>
    <row r="57" spans="1:8" ht="76.5" x14ac:dyDescent="0.3">
      <c r="A57" s="6" t="s">
        <v>55</v>
      </c>
      <c r="B57" s="4" t="s">
        <v>5791</v>
      </c>
      <c r="C57" s="4" t="s">
        <v>5792</v>
      </c>
      <c r="D57" s="4" t="s">
        <v>5793</v>
      </c>
      <c r="E57" s="4" t="s">
        <v>5794</v>
      </c>
      <c r="F57" s="4" t="s">
        <v>5795</v>
      </c>
      <c r="G57" s="6" t="s">
        <v>4237</v>
      </c>
      <c r="H57" s="6" t="s">
        <v>5796</v>
      </c>
    </row>
    <row r="58" spans="1:8" ht="102" x14ac:dyDescent="0.3">
      <c r="A58" s="6" t="s">
        <v>55</v>
      </c>
      <c r="B58" s="4" t="s">
        <v>5797</v>
      </c>
      <c r="C58" s="4" t="s">
        <v>5798</v>
      </c>
      <c r="D58" s="4" t="s">
        <v>5799</v>
      </c>
      <c r="E58" s="4" t="s">
        <v>5800</v>
      </c>
      <c r="F58" s="4" t="s">
        <v>5801</v>
      </c>
      <c r="G58" s="6" t="s">
        <v>4234</v>
      </c>
      <c r="H58" s="6" t="s">
        <v>5802</v>
      </c>
    </row>
    <row r="59" spans="1:8" ht="114.75" x14ac:dyDescent="0.3">
      <c r="A59" s="6" t="s">
        <v>55</v>
      </c>
      <c r="B59" s="4" t="s">
        <v>5803</v>
      </c>
      <c r="C59" s="4" t="s">
        <v>5804</v>
      </c>
      <c r="D59" s="4" t="s">
        <v>5805</v>
      </c>
      <c r="E59" s="4" t="s">
        <v>5806</v>
      </c>
      <c r="F59" s="4" t="s">
        <v>5807</v>
      </c>
      <c r="G59" s="6" t="s">
        <v>4237</v>
      </c>
      <c r="H59" s="6" t="s">
        <v>5808</v>
      </c>
    </row>
    <row r="60" spans="1:8" ht="127.5" x14ac:dyDescent="0.3">
      <c r="A60" s="6" t="s">
        <v>55</v>
      </c>
      <c r="B60" s="4" t="s">
        <v>5809</v>
      </c>
      <c r="C60" s="4" t="s">
        <v>5810</v>
      </c>
      <c r="D60" s="4" t="s">
        <v>5811</v>
      </c>
      <c r="E60" s="4" t="s">
        <v>5812</v>
      </c>
      <c r="F60" s="4" t="s">
        <v>5813</v>
      </c>
      <c r="G60" s="6" t="s">
        <v>4237</v>
      </c>
      <c r="H60" s="6" t="s">
        <v>5814</v>
      </c>
    </row>
    <row r="61" spans="1:8" ht="63.75" x14ac:dyDescent="0.3">
      <c r="A61" s="6" t="s">
        <v>55</v>
      </c>
      <c r="B61" s="4" t="s">
        <v>5815</v>
      </c>
      <c r="C61" s="4" t="s">
        <v>5816</v>
      </c>
      <c r="D61" s="4" t="s">
        <v>5817</v>
      </c>
      <c r="E61" s="4" t="s">
        <v>5818</v>
      </c>
      <c r="F61" s="4" t="s">
        <v>5819</v>
      </c>
      <c r="G61" s="6" t="s">
        <v>4240</v>
      </c>
      <c r="H61" s="6" t="s">
        <v>5820</v>
      </c>
    </row>
    <row r="62" spans="1:8" ht="127.5" x14ac:dyDescent="0.3">
      <c r="A62" s="6" t="s">
        <v>55</v>
      </c>
      <c r="B62" s="4" t="s">
        <v>5821</v>
      </c>
      <c r="C62" s="4" t="s">
        <v>5822</v>
      </c>
      <c r="D62" s="4" t="s">
        <v>5823</v>
      </c>
      <c r="E62" s="4" t="s">
        <v>5824</v>
      </c>
      <c r="F62" s="4" t="s">
        <v>5825</v>
      </c>
      <c r="G62" s="6" t="s">
        <v>4240</v>
      </c>
      <c r="H62" s="6" t="s">
        <v>5826</v>
      </c>
    </row>
    <row r="63" spans="1:8" ht="76.5" x14ac:dyDescent="0.3">
      <c r="A63" s="6" t="s">
        <v>55</v>
      </c>
      <c r="B63" s="4" t="s">
        <v>5827</v>
      </c>
      <c r="C63" s="4" t="s">
        <v>5828</v>
      </c>
      <c r="D63" s="4" t="s">
        <v>5829</v>
      </c>
      <c r="E63" s="4" t="s">
        <v>5830</v>
      </c>
      <c r="F63" s="4" t="s">
        <v>5831</v>
      </c>
      <c r="G63" s="6" t="s">
        <v>4240</v>
      </c>
      <c r="H63" s="6" t="s">
        <v>5832</v>
      </c>
    </row>
  </sheetData>
  <autoFilter ref="A5:H63" xr:uid="{00000000-0009-0000-0000-00000F000000}"/>
  <mergeCells count="1">
    <mergeCell ref="A2:H2"/>
  </mergeCells>
  <phoneticPr fontId="8" type="noConversion"/>
  <pageMargins left="0.75" right="0.75" top="1" bottom="1" header="0.5" footer="0.5"/>
  <pageSetup fitToHeight="0"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16</vt:i4>
      </vt:variant>
    </vt:vector>
  </HeadingPairs>
  <TitlesOfParts>
    <vt:vector size="16" baseType="lpstr">
      <vt:lpstr>안내</vt:lpstr>
      <vt:lpstr>요약</vt:lpstr>
      <vt:lpstr>수집데이터_전력</vt:lpstr>
      <vt:lpstr>수집데이터_수소</vt:lpstr>
      <vt:lpstr>운영·비정형 데이터</vt:lpstr>
      <vt:lpstr>설계수명·교체주기</vt:lpstr>
      <vt:lpstr>법정 점검</vt:lpstr>
      <vt:lpstr>분석항목×주기</vt:lpstr>
      <vt:lpstr>정기 리포트 구성</vt:lpstr>
      <vt:lpstr>AI 분석 방법</vt:lpstr>
      <vt:lpstr>개선항목·기대효과</vt:lpstr>
      <vt:lpstr>축적기간별 로드맵</vt:lpstr>
      <vt:lpstr>검증 결과</vt:lpstr>
      <vt:lpstr>출처</vt:lpstr>
      <vt:lpstr>가평 사이트</vt:lpstr>
      <vt:lpstr>가평 P&amp;ID 고장모드</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태양광·수소 발전 데이터 수집·AI 분석 예상안</dc:title>
  <dc:creator>주식회사 퍼스트씨앤디</dc:creator>
  <cp:lastModifiedBy>송 경석</cp:lastModifiedBy>
  <dcterms:created xsi:type="dcterms:W3CDTF">2026-09-16T19:55:09Z</dcterms:created>
  <dcterms:modified xsi:type="dcterms:W3CDTF">2026-09-16T19:55:27Z</dcterms:modified>
</cp:coreProperties>
</file>